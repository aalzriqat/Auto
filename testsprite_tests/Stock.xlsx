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3732E02-F119-4ACE-831C-8469646F97A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uide" sheetId="9" r:id="rId1"/>
    <sheet name="المخزون" sheetId="1" r:id="rId2"/>
    <sheet name="المتخصصة للتمويل" sheetId="2" r:id="rId3"/>
    <sheet name="الكوثر" sheetId="5" r:id="rId4"/>
    <sheet name="بندار" sheetId="3" r:id="rId5"/>
    <sheet name="تمكين" sheetId="4" r:id="rId6"/>
    <sheet name="السماحة" sheetId="6" r:id="rId7"/>
    <sheet name="دار التمويل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6" l="1"/>
  <c r="F12" i="5"/>
  <c r="A12" i="8" l="1"/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4" i="8"/>
  <c r="A5" i="8"/>
  <c r="A6" i="8"/>
  <c r="A7" i="8"/>
  <c r="A8" i="8"/>
  <c r="A9" i="8"/>
  <c r="A10" i="8"/>
  <c r="A11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4" i="8"/>
  <c r="K5" i="6"/>
  <c r="K6" i="6"/>
  <c r="K7" i="6"/>
  <c r="K8" i="6"/>
  <c r="K9" i="6"/>
  <c r="K10" i="6"/>
  <c r="K11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8" i="6"/>
  <c r="K29" i="6"/>
  <c r="K30" i="6"/>
  <c r="K31" i="6"/>
  <c r="K32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J5" i="6"/>
  <c r="J6" i="6"/>
  <c r="J7" i="6"/>
  <c r="J8" i="6"/>
  <c r="J9" i="6"/>
  <c r="J10" i="6"/>
  <c r="J11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8" i="6"/>
  <c r="J30" i="6"/>
  <c r="J31" i="6"/>
  <c r="J32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H5" i="6"/>
  <c r="H6" i="6"/>
  <c r="H7" i="6"/>
  <c r="H8" i="6"/>
  <c r="H9" i="6"/>
  <c r="H10" i="6"/>
  <c r="H11" i="6"/>
  <c r="H12" i="6"/>
  <c r="K12" i="6" s="1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8" i="6"/>
  <c r="H29" i="6"/>
  <c r="J29" i="6" s="1"/>
  <c r="H30" i="6"/>
  <c r="H31" i="6"/>
  <c r="H32" i="6"/>
  <c r="H34" i="6"/>
  <c r="J34" i="6" s="1"/>
  <c r="H35" i="6"/>
  <c r="J35" i="6" s="1"/>
  <c r="H36" i="6"/>
  <c r="J36" i="6" s="1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F5" i="6"/>
  <c r="F6" i="6"/>
  <c r="F7" i="6"/>
  <c r="F8" i="6"/>
  <c r="F9" i="6"/>
  <c r="F10" i="6"/>
  <c r="F11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H27" i="6" s="1"/>
  <c r="F28" i="6"/>
  <c r="F29" i="6"/>
  <c r="F30" i="6"/>
  <c r="F31" i="6"/>
  <c r="F32" i="6"/>
  <c r="F33" i="6"/>
  <c r="H33" i="6" s="1"/>
  <c r="J33" i="6" s="1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E33" i="6" s="1"/>
  <c r="D34" i="6"/>
  <c r="E34" i="6" s="1"/>
  <c r="D35" i="6"/>
  <c r="E35" i="6" s="1"/>
  <c r="D36" i="6"/>
  <c r="E36" i="6" s="1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8" i="4"/>
  <c r="K30" i="4"/>
  <c r="K31" i="4"/>
  <c r="K32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8" i="4"/>
  <c r="J30" i="4"/>
  <c r="J31" i="4"/>
  <c r="J32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K27" i="4" s="1"/>
  <c r="H28" i="4"/>
  <c r="H30" i="4"/>
  <c r="H31" i="4"/>
  <c r="H32" i="4"/>
  <c r="H35" i="4"/>
  <c r="J35" i="4" s="1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H29" i="4" s="1"/>
  <c r="F30" i="4"/>
  <c r="F31" i="4"/>
  <c r="F32" i="4"/>
  <c r="F33" i="4"/>
  <c r="H33" i="4" s="1"/>
  <c r="J33" i="4" s="1"/>
  <c r="F34" i="4"/>
  <c r="H34" i="4" s="1"/>
  <c r="J34" i="4" s="1"/>
  <c r="F35" i="4"/>
  <c r="F36" i="4"/>
  <c r="H36" i="4" s="1"/>
  <c r="J36" i="4" s="1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E33" i="4" s="1"/>
  <c r="D34" i="4"/>
  <c r="E34" i="4" s="1"/>
  <c r="D35" i="4"/>
  <c r="E35" i="4" s="1"/>
  <c r="D36" i="4"/>
  <c r="E36" i="4" s="1"/>
  <c r="D37" i="4"/>
  <c r="E37" i="4" s="1"/>
  <c r="K37" i="4" s="1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8" i="3"/>
  <c r="L30" i="3"/>
  <c r="L31" i="3"/>
  <c r="L32" i="3"/>
  <c r="L38" i="3"/>
  <c r="L39" i="3"/>
  <c r="L40" i="3"/>
  <c r="L41" i="3"/>
  <c r="L42" i="3"/>
  <c r="L43" i="3"/>
  <c r="L44" i="3"/>
  <c r="L45" i="3"/>
  <c r="L46" i="3"/>
  <c r="L47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8" i="3"/>
  <c r="K30" i="3"/>
  <c r="K31" i="3"/>
  <c r="K32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8" i="3"/>
  <c r="I29" i="3"/>
  <c r="K29" i="3" s="1"/>
  <c r="I30" i="3"/>
  <c r="I31" i="3"/>
  <c r="I32" i="3"/>
  <c r="I36" i="3"/>
  <c r="K36" i="3" s="1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I27" i="3" s="1"/>
  <c r="G28" i="3"/>
  <c r="G29" i="3"/>
  <c r="G30" i="3"/>
  <c r="G31" i="3"/>
  <c r="G32" i="3"/>
  <c r="G33" i="3"/>
  <c r="I33" i="3" s="1"/>
  <c r="K33" i="3" s="1"/>
  <c r="G34" i="3"/>
  <c r="I34" i="3" s="1"/>
  <c r="K34" i="3" s="1"/>
  <c r="G35" i="3"/>
  <c r="I35" i="3" s="1"/>
  <c r="K35" i="3" s="1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7" i="3"/>
  <c r="L37" i="3" s="1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F33" i="3" s="1"/>
  <c r="E34" i="3"/>
  <c r="F34" i="3" s="1"/>
  <c r="E35" i="3"/>
  <c r="F35" i="3" s="1"/>
  <c r="E36" i="3"/>
  <c r="F36" i="3" s="1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8" i="5"/>
  <c r="W30" i="5"/>
  <c r="W31" i="5"/>
  <c r="W32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8" i="5"/>
  <c r="V30" i="5"/>
  <c r="V31" i="5"/>
  <c r="V32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8" i="5"/>
  <c r="T30" i="5"/>
  <c r="T31" i="5"/>
  <c r="T32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T27" i="5" s="1"/>
  <c r="R28" i="5"/>
  <c r="R29" i="5"/>
  <c r="T29" i="5" s="1"/>
  <c r="R30" i="5"/>
  <c r="R31" i="5"/>
  <c r="R32" i="5"/>
  <c r="R33" i="5"/>
  <c r="T33" i="5" s="1"/>
  <c r="V33" i="5" s="1"/>
  <c r="R34" i="5"/>
  <c r="T34" i="5" s="1"/>
  <c r="V34" i="5" s="1"/>
  <c r="R35" i="5"/>
  <c r="T35" i="5" s="1"/>
  <c r="V35" i="5" s="1"/>
  <c r="R36" i="5"/>
  <c r="T36" i="5" s="1"/>
  <c r="V36" i="5" s="1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Q33" i="5" s="1"/>
  <c r="P34" i="5"/>
  <c r="Q34" i="5" s="1"/>
  <c r="P35" i="5"/>
  <c r="Q35" i="5" s="1"/>
  <c r="P36" i="5"/>
  <c r="Q36" i="5" s="1"/>
  <c r="P37" i="5"/>
  <c r="Q37" i="5" s="1"/>
  <c r="W37" i="5" s="1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K5" i="5"/>
  <c r="K6" i="5"/>
  <c r="K7" i="5"/>
  <c r="K8" i="5"/>
  <c r="K9" i="5"/>
  <c r="K10" i="5"/>
  <c r="K11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8" i="5"/>
  <c r="K30" i="5"/>
  <c r="K31" i="5"/>
  <c r="K32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J30" i="5"/>
  <c r="J31" i="5"/>
  <c r="J32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" i="5"/>
  <c r="J6" i="5"/>
  <c r="J7" i="5"/>
  <c r="J8" i="5"/>
  <c r="J9" i="5"/>
  <c r="J10" i="5"/>
  <c r="J11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8" i="5"/>
  <c r="H5" i="5"/>
  <c r="H6" i="5"/>
  <c r="H7" i="5"/>
  <c r="H8" i="5"/>
  <c r="H9" i="5"/>
  <c r="H10" i="5"/>
  <c r="H11" i="5"/>
  <c r="H12" i="5"/>
  <c r="K12" i="5" s="1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8" i="5"/>
  <c r="H30" i="5"/>
  <c r="H31" i="5"/>
  <c r="H32" i="5"/>
  <c r="H34" i="5"/>
  <c r="J34" i="5" s="1"/>
  <c r="H36" i="5"/>
  <c r="J36" i="5" s="1"/>
  <c r="H37" i="5"/>
  <c r="H38" i="5"/>
  <c r="H39" i="5"/>
  <c r="H40" i="5"/>
  <c r="H41" i="5"/>
  <c r="H42" i="5"/>
  <c r="F5" i="5"/>
  <c r="F6" i="5"/>
  <c r="F7" i="5"/>
  <c r="F8" i="5"/>
  <c r="F9" i="5"/>
  <c r="F10" i="5"/>
  <c r="F11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H27" i="5" s="1"/>
  <c r="F28" i="5"/>
  <c r="F29" i="5"/>
  <c r="H29" i="5" s="1"/>
  <c r="F30" i="5"/>
  <c r="F31" i="5"/>
  <c r="F32" i="5"/>
  <c r="F33" i="5"/>
  <c r="H33" i="5" s="1"/>
  <c r="J33" i="5" s="1"/>
  <c r="F34" i="5"/>
  <c r="F35" i="5"/>
  <c r="H35" i="5" s="1"/>
  <c r="J35" i="5" s="1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E33" i="5" s="1"/>
  <c r="D34" i="5"/>
  <c r="E34" i="5" s="1"/>
  <c r="D35" i="5"/>
  <c r="E35" i="5" s="1"/>
  <c r="D36" i="5"/>
  <c r="E36" i="5" s="1"/>
  <c r="D37" i="5"/>
  <c r="E37" i="5" s="1"/>
  <c r="K37" i="5" s="1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8" i="2"/>
  <c r="L30" i="2"/>
  <c r="L31" i="2"/>
  <c r="L32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8" i="2"/>
  <c r="J30" i="2"/>
  <c r="J31" i="2"/>
  <c r="J32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J27" i="2" s="1"/>
  <c r="L27" i="2" s="1"/>
  <c r="H28" i="2"/>
  <c r="H29" i="2"/>
  <c r="J29" i="2" s="1"/>
  <c r="L29" i="2" s="1"/>
  <c r="H30" i="2"/>
  <c r="H31" i="2"/>
  <c r="H32" i="2"/>
  <c r="H33" i="2"/>
  <c r="J33" i="2" s="1"/>
  <c r="H34" i="2"/>
  <c r="J34" i="2" s="1"/>
  <c r="H35" i="2"/>
  <c r="J35" i="2" s="1"/>
  <c r="J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5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G33" i="2" s="1"/>
  <c r="F34" i="2"/>
  <c r="G34" i="2" s="1"/>
  <c r="F35" i="2"/>
  <c r="F36" i="2"/>
  <c r="G36" i="2" s="1"/>
  <c r="F37" i="2"/>
  <c r="G37" i="2" s="1"/>
  <c r="L37" i="2" s="1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J12" i="6" l="1"/>
  <c r="J12" i="5"/>
  <c r="L36" i="2"/>
  <c r="K36" i="5"/>
  <c r="W36" i="5"/>
  <c r="L36" i="3"/>
  <c r="K36" i="4"/>
  <c r="K36" i="6"/>
  <c r="K35" i="6"/>
  <c r="K35" i="4"/>
  <c r="L35" i="3"/>
  <c r="K35" i="5"/>
  <c r="W35" i="5"/>
  <c r="L35" i="2"/>
  <c r="L34" i="2"/>
  <c r="W34" i="5"/>
  <c r="K34" i="5"/>
  <c r="L34" i="3"/>
  <c r="K34" i="4"/>
  <c r="K34" i="6"/>
  <c r="K33" i="6"/>
  <c r="K33" i="4"/>
  <c r="L33" i="3"/>
  <c r="W33" i="5"/>
  <c r="K33" i="5"/>
  <c r="L33" i="2"/>
  <c r="K29" i="4"/>
  <c r="J29" i="4"/>
  <c r="L29" i="3"/>
  <c r="W29" i="5"/>
  <c r="V29" i="5"/>
  <c r="J29" i="5"/>
  <c r="K29" i="5"/>
  <c r="J27" i="6"/>
  <c r="K27" i="6"/>
  <c r="J27" i="4"/>
  <c r="K27" i="3"/>
  <c r="L27" i="3"/>
  <c r="K27" i="5"/>
  <c r="J27" i="5"/>
  <c r="W27" i="5"/>
  <c r="V27" i="5"/>
  <c r="D56" i="6" l="1"/>
  <c r="D57" i="6"/>
  <c r="B56" i="6"/>
  <c r="B57" i="6"/>
  <c r="B58" i="6"/>
  <c r="B59" i="6"/>
  <c r="A58" i="6"/>
  <c r="A59" i="6"/>
  <c r="F56" i="6"/>
  <c r="F57" i="6"/>
  <c r="F58" i="6"/>
  <c r="H58" i="6" s="1"/>
  <c r="F59" i="6"/>
  <c r="H59" i="6" s="1"/>
  <c r="F60" i="6"/>
  <c r="H60" i="6" s="1"/>
  <c r="F61" i="6"/>
  <c r="H61" i="6" s="1"/>
  <c r="F62" i="6"/>
  <c r="F63" i="6"/>
  <c r="F4" i="6"/>
  <c r="F4" i="4"/>
  <c r="G4" i="3"/>
  <c r="T51" i="5"/>
  <c r="T52" i="5"/>
  <c r="T53" i="5"/>
  <c r="R4" i="5"/>
  <c r="H43" i="5"/>
  <c r="H44" i="5"/>
  <c r="H46" i="5"/>
  <c r="F4" i="5"/>
  <c r="H55" i="2"/>
  <c r="H56" i="2"/>
  <c r="H57" i="2"/>
  <c r="H58" i="2"/>
  <c r="J58" i="2" s="1"/>
  <c r="H59" i="2"/>
  <c r="J59" i="2" s="1"/>
  <c r="H60" i="2"/>
  <c r="J60" i="2" s="1"/>
  <c r="H61" i="2"/>
  <c r="J61" i="2" s="1"/>
  <c r="H4" i="2"/>
  <c r="B47" i="2"/>
  <c r="C56" i="2"/>
  <c r="C57" i="2"/>
  <c r="D53" i="2"/>
  <c r="D54" i="2"/>
  <c r="D55" i="2"/>
  <c r="D56" i="2"/>
  <c r="D57" i="2"/>
  <c r="D58" i="2"/>
  <c r="D59" i="2"/>
  <c r="D4" i="6"/>
  <c r="B4" i="6"/>
  <c r="A4" i="6"/>
  <c r="D53" i="4"/>
  <c r="D54" i="4"/>
  <c r="D55" i="4"/>
  <c r="D4" i="4"/>
  <c r="B58" i="4"/>
  <c r="B59" i="4"/>
  <c r="B4" i="4"/>
  <c r="A58" i="4"/>
  <c r="A59" i="4"/>
  <c r="A4" i="4"/>
  <c r="E56" i="3"/>
  <c r="E57" i="3"/>
  <c r="E4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4" i="3"/>
  <c r="B4" i="3"/>
  <c r="A55" i="3"/>
  <c r="A56" i="3"/>
  <c r="A57" i="3"/>
  <c r="A58" i="3"/>
  <c r="A59" i="3"/>
  <c r="A4" i="3"/>
  <c r="P51" i="5"/>
  <c r="P52" i="5"/>
  <c r="Q52" i="5" s="1"/>
  <c r="P53" i="5"/>
  <c r="Q53" i="5" s="1"/>
  <c r="P54" i="5"/>
  <c r="Q54" i="5" s="1"/>
  <c r="P55" i="5"/>
  <c r="Q55" i="5" s="1"/>
  <c r="P56" i="5"/>
  <c r="Q56" i="5" s="1"/>
  <c r="P57" i="5"/>
  <c r="Q57" i="5" s="1"/>
  <c r="P58" i="5"/>
  <c r="P59" i="5"/>
  <c r="P4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4" i="5"/>
  <c r="M56" i="5"/>
  <c r="M57" i="5"/>
  <c r="M58" i="5"/>
  <c r="M59" i="5"/>
  <c r="M4" i="5"/>
  <c r="H45" i="5"/>
  <c r="H47" i="5"/>
  <c r="H48" i="5"/>
  <c r="H49" i="5"/>
  <c r="H50" i="5"/>
  <c r="H51" i="5"/>
  <c r="H52" i="5"/>
  <c r="H53" i="5"/>
  <c r="H54" i="5"/>
  <c r="H55" i="5"/>
  <c r="H56" i="5"/>
  <c r="J56" i="5" s="1"/>
  <c r="H57" i="5"/>
  <c r="J57" i="5" s="1"/>
  <c r="D58" i="5"/>
  <c r="D59" i="5"/>
  <c r="D4" i="5"/>
  <c r="B4" i="5"/>
  <c r="A4" i="5"/>
  <c r="J62" i="2"/>
  <c r="J63" i="2"/>
  <c r="F58" i="2"/>
  <c r="F59" i="2"/>
  <c r="F60" i="2"/>
  <c r="F61" i="2"/>
  <c r="F4" i="2"/>
  <c r="D60" i="2"/>
  <c r="D61" i="2"/>
  <c r="D62" i="2"/>
  <c r="D63" i="2"/>
  <c r="D4" i="2"/>
  <c r="C58" i="2"/>
  <c r="C59" i="2"/>
  <c r="C60" i="2"/>
  <c r="C61" i="2"/>
  <c r="C4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4" i="2"/>
  <c r="A62" i="2"/>
  <c r="A63" i="2"/>
  <c r="A64" i="2"/>
  <c r="A4" i="2"/>
  <c r="K55" i="4" l="1"/>
  <c r="K51" i="4"/>
  <c r="K54" i="4"/>
  <c r="L51" i="3"/>
  <c r="L53" i="3"/>
  <c r="L49" i="3"/>
  <c r="K53" i="4"/>
  <c r="K52" i="4"/>
  <c r="L52" i="3"/>
  <c r="L48" i="3"/>
  <c r="L50" i="3"/>
  <c r="J7" i="8"/>
  <c r="J8" i="8"/>
  <c r="J9" i="8"/>
  <c r="J11" i="8"/>
  <c r="J21" i="8"/>
  <c r="J26" i="8"/>
  <c r="J27" i="8"/>
  <c r="J28" i="8"/>
  <c r="J29" i="8"/>
  <c r="J30" i="8"/>
  <c r="J31" i="8"/>
  <c r="J32" i="8"/>
  <c r="J33" i="8"/>
  <c r="J34" i="8"/>
  <c r="J36" i="8"/>
  <c r="J37" i="8"/>
  <c r="J38" i="8"/>
  <c r="J39" i="8"/>
  <c r="J40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H7" i="8"/>
  <c r="H8" i="8"/>
  <c r="H9" i="8"/>
  <c r="H10" i="8"/>
  <c r="J10" i="8" s="1"/>
  <c r="H11" i="8"/>
  <c r="H12" i="8"/>
  <c r="H13" i="8"/>
  <c r="J13" i="8" s="1"/>
  <c r="H14" i="8"/>
  <c r="J14" i="8" s="1"/>
  <c r="H15" i="8"/>
  <c r="J15" i="8" s="1"/>
  <c r="H16" i="8"/>
  <c r="H17" i="8"/>
  <c r="J17" i="8" s="1"/>
  <c r="H18" i="8"/>
  <c r="J18" i="8" s="1"/>
  <c r="H19" i="8"/>
  <c r="H20" i="8"/>
  <c r="H21" i="8"/>
  <c r="H22" i="8"/>
  <c r="J22" i="8" s="1"/>
  <c r="H23" i="8"/>
  <c r="J23" i="8" s="1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J41" i="8" s="1"/>
  <c r="H42" i="8"/>
  <c r="H43" i="8"/>
  <c r="H44" i="8"/>
  <c r="H45" i="8"/>
  <c r="H46" i="8"/>
  <c r="H47" i="8"/>
  <c r="H48" i="8"/>
  <c r="E7" i="8"/>
  <c r="K7" i="8" s="1"/>
  <c r="E8" i="8"/>
  <c r="K8" i="8" s="1"/>
  <c r="E9" i="8"/>
  <c r="K9" i="8" s="1"/>
  <c r="E10" i="8"/>
  <c r="K10" i="8" s="1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K26" i="8" s="1"/>
  <c r="E27" i="8"/>
  <c r="K27" i="8" s="1"/>
  <c r="E28" i="8"/>
  <c r="K28" i="8" s="1"/>
  <c r="E29" i="8"/>
  <c r="K29" i="8" s="1"/>
  <c r="E30" i="8"/>
  <c r="K30" i="8" s="1"/>
  <c r="E31" i="8"/>
  <c r="K31" i="8" s="1"/>
  <c r="E32" i="8"/>
  <c r="K32" i="8" s="1"/>
  <c r="E33" i="8"/>
  <c r="K33" i="8" s="1"/>
  <c r="E34" i="8"/>
  <c r="K34" i="8" s="1"/>
  <c r="E35" i="8"/>
  <c r="E36" i="8"/>
  <c r="K36" i="8" s="1"/>
  <c r="E37" i="8"/>
  <c r="K37" i="8" s="1"/>
  <c r="E38" i="8"/>
  <c r="K38" i="8" s="1"/>
  <c r="E39" i="8"/>
  <c r="K39" i="8" s="1"/>
  <c r="E40" i="8"/>
  <c r="K40" i="8" s="1"/>
  <c r="E41" i="8"/>
  <c r="E42" i="8"/>
  <c r="K42" i="8" s="1"/>
  <c r="E43" i="8"/>
  <c r="K43" i="8" s="1"/>
  <c r="E44" i="8"/>
  <c r="K44" i="8" s="1"/>
  <c r="E45" i="8"/>
  <c r="K45" i="8" s="1"/>
  <c r="E46" i="8"/>
  <c r="K46" i="8" s="1"/>
  <c r="E56" i="6"/>
  <c r="K56" i="6" s="1"/>
  <c r="E57" i="6"/>
  <c r="K57" i="6" s="1"/>
  <c r="D56" i="4"/>
  <c r="E56" i="4" s="1"/>
  <c r="K56" i="4" s="1"/>
  <c r="D57" i="4"/>
  <c r="E57" i="4" s="1"/>
  <c r="K57" i="4" s="1"/>
  <c r="L57" i="3"/>
  <c r="E58" i="3"/>
  <c r="F58" i="3" s="1"/>
  <c r="E59" i="3"/>
  <c r="F59" i="3" s="1"/>
  <c r="C56" i="3"/>
  <c r="C57" i="3"/>
  <c r="B58" i="5"/>
  <c r="B59" i="5"/>
  <c r="B60" i="5"/>
  <c r="B61" i="5"/>
  <c r="B61" i="2"/>
  <c r="B62" i="2"/>
  <c r="B63" i="2"/>
  <c r="B64" i="2"/>
  <c r="B65" i="2"/>
  <c r="A65" i="2"/>
  <c r="L54" i="3" l="1"/>
  <c r="L55" i="3"/>
  <c r="L56" i="3"/>
  <c r="K21" i="8"/>
  <c r="K25" i="8"/>
  <c r="K24" i="8"/>
  <c r="K20" i="8"/>
  <c r="K16" i="8"/>
  <c r="K12" i="8"/>
  <c r="K35" i="8"/>
  <c r="K19" i="8"/>
  <c r="K11" i="8"/>
  <c r="K41" i="8"/>
  <c r="J35" i="8"/>
  <c r="J25" i="8"/>
  <c r="J19" i="8"/>
  <c r="K23" i="8"/>
  <c r="K18" i="8"/>
  <c r="K22" i="8"/>
  <c r="K17" i="8"/>
  <c r="K15" i="8"/>
  <c r="K14" i="8"/>
  <c r="K13" i="8"/>
  <c r="J12" i="8"/>
  <c r="J24" i="8"/>
  <c r="J20" i="8"/>
  <c r="J16" i="8"/>
  <c r="Q58" i="5"/>
  <c r="Q59" i="5"/>
  <c r="E47" i="8"/>
  <c r="K47" i="8" s="1"/>
  <c r="E48" i="8"/>
  <c r="K48" i="8" s="1"/>
  <c r="E49" i="8"/>
  <c r="K49" i="8" s="1"/>
  <c r="E50" i="8"/>
  <c r="K50" i="8" s="1"/>
  <c r="E51" i="8"/>
  <c r="K51" i="8" s="1"/>
  <c r="D52" i="8"/>
  <c r="E52" i="8" s="1"/>
  <c r="K52" i="8" s="1"/>
  <c r="D53" i="8"/>
  <c r="E53" i="8" s="1"/>
  <c r="K53" i="8" s="1"/>
  <c r="D54" i="8"/>
  <c r="E54" i="8" s="1"/>
  <c r="K54" i="8" s="1"/>
  <c r="D55" i="8"/>
  <c r="E55" i="8" s="1"/>
  <c r="K55" i="8" s="1"/>
  <c r="D56" i="8"/>
  <c r="E56" i="8" s="1"/>
  <c r="K56" i="8" s="1"/>
  <c r="D57" i="8"/>
  <c r="E57" i="8" s="1"/>
  <c r="K57" i="8" s="1"/>
  <c r="B58" i="8"/>
  <c r="D58" i="8"/>
  <c r="E58" i="8" s="1"/>
  <c r="E5" i="8" l="1"/>
  <c r="E6" i="8"/>
  <c r="D59" i="8"/>
  <c r="D60" i="8"/>
  <c r="E60" i="8" s="1"/>
  <c r="K60" i="8" s="1"/>
  <c r="D61" i="8"/>
  <c r="E61" i="8" s="1"/>
  <c r="K61" i="8" s="1"/>
  <c r="D62" i="8"/>
  <c r="E62" i="8" s="1"/>
  <c r="K62" i="8" s="1"/>
  <c r="D63" i="8"/>
  <c r="E63" i="8" s="1"/>
  <c r="B59" i="8"/>
  <c r="B60" i="8"/>
  <c r="B61" i="8"/>
  <c r="B62" i="8"/>
  <c r="B63" i="8"/>
  <c r="A60" i="8"/>
  <c r="A61" i="8"/>
  <c r="A62" i="8"/>
  <c r="A63" i="8"/>
  <c r="D58" i="6"/>
  <c r="E58" i="6" s="1"/>
  <c r="D59" i="6"/>
  <c r="E59" i="6" s="1"/>
  <c r="D60" i="6"/>
  <c r="E60" i="6" s="1"/>
  <c r="K60" i="6" s="1"/>
  <c r="D61" i="6"/>
  <c r="D62" i="6"/>
  <c r="E62" i="6" s="1"/>
  <c r="D63" i="6"/>
  <c r="E63" i="6" s="1"/>
  <c r="B60" i="6"/>
  <c r="B61" i="6"/>
  <c r="B62" i="6"/>
  <c r="B63" i="6"/>
  <c r="A60" i="6"/>
  <c r="A61" i="6"/>
  <c r="A62" i="6"/>
  <c r="A63" i="6"/>
  <c r="D58" i="4"/>
  <c r="E58" i="4" s="1"/>
  <c r="D59" i="4"/>
  <c r="E59" i="4" s="1"/>
  <c r="D60" i="4"/>
  <c r="E60" i="4" s="1"/>
  <c r="D61" i="4"/>
  <c r="E61" i="4" s="1"/>
  <c r="D62" i="4"/>
  <c r="E62" i="4" s="1"/>
  <c r="D63" i="4"/>
  <c r="E63" i="4" s="1"/>
  <c r="B60" i="4"/>
  <c r="B61" i="4"/>
  <c r="B62" i="4"/>
  <c r="B63" i="4"/>
  <c r="A60" i="4"/>
  <c r="A61" i="4"/>
  <c r="A62" i="4"/>
  <c r="A63" i="4"/>
  <c r="E60" i="3"/>
  <c r="F60" i="3" s="1"/>
  <c r="E61" i="3"/>
  <c r="F61" i="3" s="1"/>
  <c r="E62" i="3"/>
  <c r="F62" i="3" s="1"/>
  <c r="E63" i="3"/>
  <c r="F63" i="3" s="1"/>
  <c r="C58" i="3"/>
  <c r="C59" i="3"/>
  <c r="C60" i="3"/>
  <c r="C61" i="3"/>
  <c r="C62" i="3"/>
  <c r="C63" i="3"/>
  <c r="B60" i="3"/>
  <c r="B61" i="3"/>
  <c r="B62" i="3"/>
  <c r="B63" i="3"/>
  <c r="A60" i="3"/>
  <c r="A61" i="3"/>
  <c r="A62" i="3"/>
  <c r="A63" i="3"/>
  <c r="P60" i="5"/>
  <c r="P61" i="5"/>
  <c r="Q61" i="5" s="1"/>
  <c r="P62" i="5"/>
  <c r="Q62" i="5" s="1"/>
  <c r="P63" i="5"/>
  <c r="Q63" i="5" s="1"/>
  <c r="N60" i="5"/>
  <c r="N61" i="5"/>
  <c r="N62" i="5"/>
  <c r="N63" i="5"/>
  <c r="M60" i="5"/>
  <c r="M61" i="5"/>
  <c r="M62" i="5"/>
  <c r="M63" i="5"/>
  <c r="E58" i="5"/>
  <c r="E59" i="5"/>
  <c r="D60" i="5"/>
  <c r="E60" i="5" s="1"/>
  <c r="D61" i="5"/>
  <c r="E61" i="5" s="1"/>
  <c r="D62" i="5"/>
  <c r="E62" i="5" s="1"/>
  <c r="D63" i="5"/>
  <c r="E63" i="5" s="1"/>
  <c r="B62" i="5"/>
  <c r="B63" i="5"/>
  <c r="A60" i="5"/>
  <c r="A61" i="5"/>
  <c r="A62" i="5"/>
  <c r="A63" i="5"/>
  <c r="G60" i="2"/>
  <c r="F62" i="2"/>
  <c r="G62" i="2" s="1"/>
  <c r="F63" i="2"/>
  <c r="G63" i="2" s="1"/>
  <c r="F64" i="2"/>
  <c r="F65" i="2"/>
  <c r="D64" i="2"/>
  <c r="D65" i="2"/>
  <c r="C62" i="2"/>
  <c r="C63" i="2"/>
  <c r="C64" i="2"/>
  <c r="C65" i="2"/>
  <c r="J62" i="8"/>
  <c r="H5" i="8"/>
  <c r="J5" i="8" s="1"/>
  <c r="H6" i="8"/>
  <c r="J6" i="8" s="1"/>
  <c r="H49" i="8"/>
  <c r="H50" i="8"/>
  <c r="H51" i="8"/>
  <c r="H52" i="8"/>
  <c r="H53" i="8"/>
  <c r="H54" i="8"/>
  <c r="H55" i="8"/>
  <c r="H56" i="8"/>
  <c r="H57" i="8"/>
  <c r="H58" i="8"/>
  <c r="K58" i="8" s="1"/>
  <c r="H59" i="8"/>
  <c r="J59" i="8" s="1"/>
  <c r="H60" i="8"/>
  <c r="J60" i="8" s="1"/>
  <c r="H61" i="8"/>
  <c r="J61" i="8" s="1"/>
  <c r="H62" i="8"/>
  <c r="H63" i="8"/>
  <c r="J63" i="8" s="1"/>
  <c r="E4" i="8"/>
  <c r="J58" i="6"/>
  <c r="J59" i="6"/>
  <c r="J60" i="6"/>
  <c r="J61" i="6"/>
  <c r="H62" i="6"/>
  <c r="J62" i="6" s="1"/>
  <c r="H63" i="6"/>
  <c r="J63" i="6" s="1"/>
  <c r="E61" i="6"/>
  <c r="E4" i="6"/>
  <c r="H58" i="4"/>
  <c r="J58" i="4" s="1"/>
  <c r="H59" i="4"/>
  <c r="J59" i="4" s="1"/>
  <c r="H60" i="4"/>
  <c r="J60" i="4" s="1"/>
  <c r="H61" i="4"/>
  <c r="J61" i="4" s="1"/>
  <c r="H62" i="4"/>
  <c r="J62" i="4" s="1"/>
  <c r="H63" i="4"/>
  <c r="J63" i="4" s="1"/>
  <c r="E4" i="4"/>
  <c r="I58" i="3"/>
  <c r="I59" i="3"/>
  <c r="I60" i="3"/>
  <c r="K60" i="3" s="1"/>
  <c r="I61" i="3"/>
  <c r="K61" i="3" s="1"/>
  <c r="I62" i="3"/>
  <c r="K62" i="3" s="1"/>
  <c r="I63" i="3"/>
  <c r="K63" i="3" s="1"/>
  <c r="F4" i="3"/>
  <c r="H58" i="5"/>
  <c r="J58" i="5" s="1"/>
  <c r="H59" i="5"/>
  <c r="J59" i="5" s="1"/>
  <c r="H60" i="5"/>
  <c r="J60" i="5" s="1"/>
  <c r="H61" i="5"/>
  <c r="J61" i="5" s="1"/>
  <c r="H62" i="5"/>
  <c r="J62" i="5" s="1"/>
  <c r="H63" i="5"/>
  <c r="J63" i="5" s="1"/>
  <c r="T54" i="5"/>
  <c r="T55" i="5"/>
  <c r="T56" i="5"/>
  <c r="T57" i="5"/>
  <c r="T58" i="5"/>
  <c r="V58" i="5" s="1"/>
  <c r="T59" i="5"/>
  <c r="V59" i="5" s="1"/>
  <c r="T60" i="5"/>
  <c r="V60" i="5" s="1"/>
  <c r="T61" i="5"/>
  <c r="V61" i="5" s="1"/>
  <c r="T62" i="5"/>
  <c r="V62" i="5" s="1"/>
  <c r="T63" i="5"/>
  <c r="V63" i="5" s="1"/>
  <c r="Q60" i="5"/>
  <c r="W60" i="5" s="1"/>
  <c r="Q4" i="5"/>
  <c r="E4" i="5"/>
  <c r="G61" i="2"/>
  <c r="G4" i="2"/>
  <c r="H4" i="8"/>
  <c r="T4" i="5"/>
  <c r="J4" i="2"/>
  <c r="H4" i="5"/>
  <c r="H4" i="6"/>
  <c r="J4" i="6" s="1"/>
  <c r="I4" i="3"/>
  <c r="H4" i="4"/>
  <c r="L63" i="3" l="1"/>
  <c r="L62" i="3"/>
  <c r="W63" i="5"/>
  <c r="K59" i="3"/>
  <c r="L59" i="3"/>
  <c r="K62" i="5"/>
  <c r="W61" i="5"/>
  <c r="L61" i="3"/>
  <c r="W59" i="5"/>
  <c r="W62" i="5"/>
  <c r="K58" i="3"/>
  <c r="L58" i="3"/>
  <c r="L60" i="3"/>
  <c r="K60" i="4"/>
  <c r="W58" i="5"/>
  <c r="K59" i="6"/>
  <c r="K62" i="6"/>
  <c r="K58" i="6"/>
  <c r="K61" i="6"/>
  <c r="V56" i="5"/>
  <c r="V57" i="5"/>
  <c r="E59" i="8"/>
  <c r="K59" i="8" s="1"/>
  <c r="J58" i="8"/>
  <c r="K63" i="8"/>
  <c r="K62" i="4"/>
  <c r="K61" i="5"/>
  <c r="K59" i="5"/>
  <c r="K4" i="8"/>
  <c r="K63" i="6"/>
  <c r="K63" i="4"/>
  <c r="L4" i="3"/>
  <c r="K6" i="8"/>
  <c r="K5" i="8"/>
  <c r="K4" i="5"/>
  <c r="W4" i="5"/>
  <c r="K63" i="5"/>
  <c r="K61" i="4"/>
  <c r="K59" i="4"/>
  <c r="K58" i="4"/>
  <c r="K4" i="4"/>
  <c r="K60" i="5"/>
  <c r="K58" i="5"/>
  <c r="L62" i="2"/>
  <c r="L4" i="2"/>
  <c r="L63" i="2"/>
  <c r="J4" i="8"/>
  <c r="V4" i="5"/>
  <c r="J4" i="5"/>
  <c r="K4" i="6"/>
  <c r="K4" i="3"/>
  <c r="J4" i="4"/>
</calcChain>
</file>

<file path=xl/sharedStrings.xml><?xml version="1.0" encoding="utf-8"?>
<sst xmlns="http://schemas.openxmlformats.org/spreadsheetml/2006/main" count="290" uniqueCount="121">
  <si>
    <t>BYD Dolphyn</t>
  </si>
  <si>
    <t>Hyundai Enciano</t>
  </si>
  <si>
    <t>Neta V</t>
  </si>
  <si>
    <t>Nammi Box Dong Feng</t>
  </si>
  <si>
    <t>Model</t>
  </si>
  <si>
    <t>TYPE/Name</t>
  </si>
  <si>
    <t>Price</t>
  </si>
  <si>
    <t>التخمين</t>
  </si>
  <si>
    <t>المبلغ الممول</t>
  </si>
  <si>
    <t>المصاريف</t>
  </si>
  <si>
    <t>Cost</t>
  </si>
  <si>
    <t>Total</t>
  </si>
  <si>
    <t>Target Margin</t>
  </si>
  <si>
    <t>Rate</t>
  </si>
  <si>
    <t>الدفعة المطلوبة</t>
  </si>
  <si>
    <t>المتخصصة للتمويل</t>
  </si>
  <si>
    <t>السماحة</t>
  </si>
  <si>
    <t>بندار</t>
  </si>
  <si>
    <t>تمكين</t>
  </si>
  <si>
    <t>الكوثر هوية</t>
  </si>
  <si>
    <t>دار التمويل</t>
  </si>
  <si>
    <t>Zero 90</t>
  </si>
  <si>
    <t>Status</t>
  </si>
  <si>
    <t>Color</t>
  </si>
  <si>
    <t>Neta X</t>
  </si>
  <si>
    <t>Neta Aya</t>
  </si>
  <si>
    <t>E Golf</t>
  </si>
  <si>
    <t>LaVida</t>
  </si>
  <si>
    <t>Nano</t>
  </si>
  <si>
    <t>Grey</t>
  </si>
  <si>
    <t>White</t>
  </si>
  <si>
    <t>Peach</t>
  </si>
  <si>
    <t>Black</t>
  </si>
  <si>
    <t>Honda NS1</t>
  </si>
  <si>
    <t>blue</t>
  </si>
  <si>
    <t>BYD seagall</t>
  </si>
  <si>
    <t>toyota BZ3</t>
  </si>
  <si>
    <t>basali</t>
  </si>
  <si>
    <t>COLOR</t>
  </si>
  <si>
    <t>Neta U / FULL</t>
  </si>
  <si>
    <t xml:space="preserve">BYD QIN + EV </t>
  </si>
  <si>
    <t>BYD E2 20 305</t>
  </si>
  <si>
    <t>WHITE</t>
  </si>
  <si>
    <t>?</t>
  </si>
  <si>
    <t>SKY BLUE</t>
  </si>
  <si>
    <t>YELLOW</t>
  </si>
  <si>
    <t>ZERO</t>
  </si>
  <si>
    <t>QUIN BYD EV</t>
  </si>
  <si>
    <t>Cream</t>
  </si>
  <si>
    <t>الاوراق المطلوبة والاعتمادات</t>
  </si>
  <si>
    <t>هوية</t>
  </si>
  <si>
    <t>فاتورة كهرباء</t>
  </si>
  <si>
    <t>دفتر عائلة</t>
  </si>
  <si>
    <t>عقد ايجار</t>
  </si>
  <si>
    <t>تعتمد سيارات مؤسسة الرشاد /  بدون كفيل 80% / تنازل و رهن</t>
  </si>
  <si>
    <t xml:space="preserve">أي سيارة /  تاجير تمويلي (ايجار ينتهي بالتملك) </t>
  </si>
  <si>
    <t xml:space="preserve">كشف ضمان </t>
  </si>
  <si>
    <t>شهادة راتب</t>
  </si>
  <si>
    <t>كفيل انثى</t>
  </si>
  <si>
    <t>او كفيل عادي (يفضل انثى)</t>
  </si>
  <si>
    <t>في حالة السجل التجاري يجب ان يكون السجل لسنة او اكثر ويرفق معه كشف حساب و رخصة مهن</t>
  </si>
  <si>
    <t>اي كفيل</t>
  </si>
  <si>
    <t>في حال كا العمل على تطبيقات التوصيل يطلب كفيل درجة اولى وكفيل عادي</t>
  </si>
  <si>
    <t>كفيل درجة اولى</t>
  </si>
  <si>
    <t>في حال كا ن العمل على تطبيقات التوصيل يطلب كفيل درجة اولى بالاضافة الى كفيل عادي</t>
  </si>
  <si>
    <t xml:space="preserve">أي سيارة / تنازل ورهن </t>
  </si>
  <si>
    <t>اي كفيلين</t>
  </si>
  <si>
    <t>المستعمل عمر 7 سنوات او اقل</t>
  </si>
  <si>
    <t xml:space="preserve"> اثبات  دخل كفيل درجة اولى</t>
  </si>
  <si>
    <t>KIA EV5</t>
  </si>
  <si>
    <t>هوية/كفيل انثى</t>
  </si>
  <si>
    <t>HONGQUI EMQ5</t>
  </si>
  <si>
    <t>LEAP T03</t>
  </si>
  <si>
    <t>FORTHING S60</t>
  </si>
  <si>
    <t xml:space="preserve">NANO </t>
  </si>
  <si>
    <t>BYD Yuan Plus</t>
  </si>
  <si>
    <t>الكوثر اثبات دخل 7.75</t>
  </si>
  <si>
    <t>Nissan Sylphi</t>
  </si>
  <si>
    <t>Dong Feng Mage</t>
  </si>
  <si>
    <t>Toyota BZ4</t>
  </si>
  <si>
    <t>BYD SONG plus</t>
  </si>
  <si>
    <t>المتخصصة</t>
  </si>
  <si>
    <t>الكوثر</t>
  </si>
  <si>
    <t>KM</t>
  </si>
  <si>
    <t>تمويل فقط BYD Toyota KIA</t>
  </si>
  <si>
    <t>Cash Only</t>
  </si>
  <si>
    <t>شهادة راتب لحالها</t>
  </si>
  <si>
    <t>Changan Eado</t>
  </si>
  <si>
    <t>Song pro</t>
  </si>
  <si>
    <t>LGXCE6DBXL0061585</t>
  </si>
  <si>
    <t>Hyundai</t>
  </si>
  <si>
    <t>LC0C74C44S5130261</t>
  </si>
  <si>
    <t>LMXF17BE3PZ375017</t>
  </si>
  <si>
    <t>DLFMAT14U8P000370</t>
  </si>
  <si>
    <t>LC0C76CA9R4807882</t>
  </si>
  <si>
    <t>LFPHC7CESN2A11469</t>
  </si>
  <si>
    <t>LSVAX60E8K2018412</t>
  </si>
  <si>
    <t>LFVNB9AU9L5660365</t>
  </si>
  <si>
    <t>LGXCB6DB1P0909066</t>
  </si>
  <si>
    <t>LDP43A961P9011353</t>
  </si>
  <si>
    <t>LUZAGAGA2NA157536</t>
  </si>
  <si>
    <t>LGXCE4CC0R0859119</t>
  </si>
  <si>
    <t>LC0CB4DBXL0029601</t>
  </si>
  <si>
    <t>LDP42A965N9030472</t>
  </si>
  <si>
    <t>LFZ71AJ50RD091151</t>
  </si>
  <si>
    <t>LDP42A962N9034415</t>
  </si>
  <si>
    <t>LSVAX60E4M2011248</t>
  </si>
  <si>
    <t>LGBH1YEA1KY617517</t>
  </si>
  <si>
    <t>LUZBGBFA9PA139033</t>
  </si>
  <si>
    <t>LJD2BA1F9P0001202</t>
  </si>
  <si>
    <t>LGXCE4CB7P2146917</t>
  </si>
  <si>
    <t>LGXC74CAXR0909135</t>
  </si>
  <si>
    <t>LFMJR14T1N0003580</t>
  </si>
  <si>
    <t>LDP35B96XTG525185</t>
  </si>
  <si>
    <t>LC0CE4CC9N0160869</t>
  </si>
  <si>
    <t>DLVHRS1851P520395</t>
  </si>
  <si>
    <t>LUZBGAFB8NA166353</t>
  </si>
  <si>
    <t>LBE3SBXCXKW000295</t>
  </si>
  <si>
    <t>Light Grey</t>
  </si>
  <si>
    <t>VIN</t>
  </si>
  <si>
    <t>BYD QUIN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</si>
</sst>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9" fontId="0" fillId="2" borderId="0" xfId="1" applyFont="1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9" fontId="5" fillId="3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3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6FEAC"/>
      <color rgb="FF0000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&#1578;&#1605;&#1603;&#1610;&#1606;!A1"/><Relationship Id="rId2" Type="http://schemas.openxmlformats.org/officeDocument/2006/relationships/hyperlink" Target="blom%20cars.xlsx" TargetMode="External"/><Relationship Id="rId1" Type="http://schemas.openxmlformats.org/officeDocument/2006/relationships/hyperlink" Target="#'&#1583;&#1575;&#1585; &#1575;&#1604;&#1578;&#1605;&#1608;&#1610;&#1604;'!A1"/><Relationship Id="rId5" Type="http://schemas.openxmlformats.org/officeDocument/2006/relationships/hyperlink" Target="#&#1575;&#1604;&#1587;&#1605;&#1575;&#1581;&#1577;!A1"/><Relationship Id="rId4" Type="http://schemas.openxmlformats.org/officeDocument/2006/relationships/hyperlink" Target="#&#1575;&#1604;&#1603;&#1608;&#1579;&#1585;!A1"/></Relationships>
</file>

<file path=xl/diagrams/_rels/data2.xml.rels><?xml version="1.0" encoding="UTF-8" standalone="yes"?>
<Relationships xmlns="http://schemas.openxmlformats.org/package/2006/relationships"><Relationship Id="rId3" Type="http://schemas.openxmlformats.org/officeDocument/2006/relationships/hyperlink" Target="#&#1576;&#1606;&#1583;&#1575;&#1585;!A1"/><Relationship Id="rId2" Type="http://schemas.openxmlformats.org/officeDocument/2006/relationships/hyperlink" Target="blom%20cars.xlsx" TargetMode="External"/><Relationship Id="rId1" Type="http://schemas.openxmlformats.org/officeDocument/2006/relationships/hyperlink" Target="#'&#1575;&#1604;&#1605;&#1578;&#1582;&#1589;&#1589;&#1577; &#1604;&#1604;&#1578;&#1605;&#1608;&#1610;&#1604;'!A1"/></Relationships>
</file>

<file path=xl/diagrams/_rels/data3.xml.rels><?xml version="1.0" encoding="UTF-8" standalone="yes"?>
<Relationships xmlns="http://schemas.openxmlformats.org/package/2006/relationships"><Relationship Id="rId3" Type="http://schemas.openxmlformats.org/officeDocument/2006/relationships/hyperlink" Target="#&#1578;&#1605;&#1603;&#1610;&#1606;!A1"/><Relationship Id="rId2" Type="http://schemas.openxmlformats.org/officeDocument/2006/relationships/hyperlink" Target="blom%20cars.xlsx" TargetMode="External"/><Relationship Id="rId1" Type="http://schemas.openxmlformats.org/officeDocument/2006/relationships/hyperlink" Target="#'&#1583;&#1575;&#1585; &#1575;&#1604;&#1578;&#1605;&#1608;&#1610;&#1604;'!A1"/><Relationship Id="rId5" Type="http://schemas.openxmlformats.org/officeDocument/2006/relationships/hyperlink" Target="#&#1575;&#1604;&#1587;&#1605;&#1575;&#1581;&#1577;!A1"/><Relationship Id="rId4" Type="http://schemas.openxmlformats.org/officeDocument/2006/relationships/hyperlink" Target="#&#1575;&#1604;&#1603;&#1608;&#1579;&#1585;!A1"/></Relationships>
</file>

<file path=xl/diagrams/_rels/data4.xml.rels><?xml version="1.0" encoding="UTF-8" standalone="yes"?>
<Relationships xmlns="http://schemas.openxmlformats.org/package/2006/relationships"><Relationship Id="rId3" Type="http://schemas.openxmlformats.org/officeDocument/2006/relationships/hyperlink" Target="#'&#1583;&#1575;&#1585; &#1575;&#1604;&#1578;&#1605;&#1608;&#1610;&#1604;'!A1"/><Relationship Id="rId2" Type="http://schemas.openxmlformats.org/officeDocument/2006/relationships/hyperlink" Target="blom%20cars.xlsx" TargetMode="External"/><Relationship Id="rId1" Type="http://schemas.openxmlformats.org/officeDocument/2006/relationships/hyperlink" Target="#&#1575;&#1604;&#1587;&#1605;&#1575;&#1581;&#1577;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F96B515-9DA1-49E8-8ED0-1521B79D373C}" type="doc">
      <dgm:prSet loTypeId="urn:microsoft.com/office/officeart/2005/8/layout/hierarchy5" loCatId="hierarchy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BFFCEE8-C1EF-4ED6-BC76-DCE6A0700A75}">
      <dgm:prSet phldrT="[Text]"/>
      <dgm:spPr/>
      <dgm:t>
        <a:bodyPr/>
        <a:lstStyle/>
        <a:p>
          <a:r>
            <a:rPr lang="ar-JO">
              <a:solidFill>
                <a:sysClr val="windowText" lastClr="000000"/>
              </a:solidFill>
            </a:rPr>
            <a:t>ضمان وكشف راتب</a:t>
          </a:r>
          <a:endParaRPr lang="en-US">
            <a:solidFill>
              <a:sysClr val="windowText" lastClr="000000"/>
            </a:solidFill>
          </a:endParaRPr>
        </a:p>
      </dgm:t>
    </dgm:pt>
    <dgm:pt modelId="{31E17A16-7D11-404B-98F0-AE2F92DEE14B}" type="parTrans" cxnId="{904E2842-42ED-44ED-859C-384F7DFCBC26}">
      <dgm:prSet/>
      <dgm:spPr/>
      <dgm:t>
        <a:bodyPr/>
        <a:lstStyle/>
        <a:p>
          <a:endParaRPr lang="en-US"/>
        </a:p>
      </dgm:t>
    </dgm:pt>
    <dgm:pt modelId="{1C5C2AA8-E096-4FDB-9D64-8A240D13E81E}" type="sibTrans" cxnId="{904E2842-42ED-44ED-859C-384F7DFCBC26}">
      <dgm:prSet/>
      <dgm:spPr/>
      <dgm:t>
        <a:bodyPr/>
        <a:lstStyle/>
        <a:p>
          <a:endParaRPr lang="en-US"/>
        </a:p>
      </dgm:t>
    </dgm:pt>
    <dgm:pt modelId="{291C0361-0081-4CBF-BCCD-A61163884D99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دار التمويل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4D46D60-D77B-4A45-BC91-56F557F140CE}" type="parTrans" cxnId="{9762429D-64D8-4D31-91F9-681031DA5451}">
      <dgm:prSet/>
      <dgm:spPr/>
      <dgm:t>
        <a:bodyPr/>
        <a:lstStyle/>
        <a:p>
          <a:endParaRPr lang="en-US"/>
        </a:p>
      </dgm:t>
    </dgm:pt>
    <dgm:pt modelId="{8ECFE82A-14E2-4137-AB93-F93D9A7B164A}" type="sibTrans" cxnId="{9762429D-64D8-4D31-91F9-681031DA5451}">
      <dgm:prSet/>
      <dgm:spPr/>
      <dgm:t>
        <a:bodyPr/>
        <a:lstStyle/>
        <a:p>
          <a:endParaRPr lang="en-US"/>
        </a:p>
      </dgm:t>
    </dgm:pt>
    <dgm:pt modelId="{879A99C7-AAF8-440A-8142-D951BE729E65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C8BF8F24-6DBA-4109-93C9-BCB245F13F4E}" type="parTrans" cxnId="{ADAD0D83-CA8C-4370-9279-30490C487E0B}">
      <dgm:prSet/>
      <dgm:spPr/>
      <dgm:t>
        <a:bodyPr/>
        <a:lstStyle/>
        <a:p>
          <a:endParaRPr lang="en-US"/>
        </a:p>
      </dgm:t>
    </dgm:pt>
    <dgm:pt modelId="{D82D63D3-00E8-45FF-839D-9CE8A76F79AA}" type="sibTrans" cxnId="{ADAD0D83-CA8C-4370-9279-30490C487E0B}">
      <dgm:prSet/>
      <dgm:spPr/>
      <dgm:t>
        <a:bodyPr/>
        <a:lstStyle/>
        <a:p>
          <a:endParaRPr lang="en-US"/>
        </a:p>
      </dgm:t>
    </dgm:pt>
    <dgm:pt modelId="{7ADA4105-9B3A-43A2-AEBC-7B54E5634C57}">
      <dgm:prSet phldrT="[Text]"/>
      <dgm:spPr/>
      <dgm:t>
        <a:bodyPr/>
        <a:lstStyle/>
        <a:p>
          <a:r>
            <a:rPr lang="ar-JO"/>
            <a:t>تمكين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AF765479-F67A-42C2-9401-0FF05EC09ED4}" type="parTrans" cxnId="{36E54544-06F4-4E09-8819-8A9A60EA1214}">
      <dgm:prSet/>
      <dgm:spPr/>
      <dgm:t>
        <a:bodyPr/>
        <a:lstStyle/>
        <a:p>
          <a:endParaRPr lang="en-US"/>
        </a:p>
      </dgm:t>
    </dgm:pt>
    <dgm:pt modelId="{69D0C0CD-A492-4C46-BA5D-101F110F9A1A}" type="sibTrans" cxnId="{36E54544-06F4-4E09-8819-8A9A60EA1214}">
      <dgm:prSet/>
      <dgm:spPr/>
      <dgm:t>
        <a:bodyPr/>
        <a:lstStyle/>
        <a:p>
          <a:endParaRPr lang="en-US"/>
        </a:p>
      </dgm:t>
    </dgm:pt>
    <dgm:pt modelId="{DA0F9E65-CCD3-42FD-A490-60F6B86EC4B9}">
      <dgm:prSet phldrT="[Text]"/>
      <dgm:spPr/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97EAEF7-3B50-4A91-99A4-CA0F55F21673}" type="parTrans" cxnId="{379CF0A9-4143-4697-92BE-DEA22F938743}">
      <dgm:prSet/>
      <dgm:spPr/>
      <dgm:t>
        <a:bodyPr/>
        <a:lstStyle/>
        <a:p>
          <a:endParaRPr lang="en-US"/>
        </a:p>
      </dgm:t>
    </dgm:pt>
    <dgm:pt modelId="{65D0D0C7-524F-4DE1-A52B-6BDA9D2EB070}" type="sibTrans" cxnId="{379CF0A9-4143-4697-92BE-DEA22F938743}">
      <dgm:prSet/>
      <dgm:spPr/>
      <dgm:t>
        <a:bodyPr/>
        <a:lstStyle/>
        <a:p>
          <a:endParaRPr lang="en-US"/>
        </a:p>
      </dgm:t>
    </dgm:pt>
    <dgm:pt modelId="{867861A5-117E-48F6-B773-3AC04E2563A8}">
      <dgm:prSet phldrT="[Text]"/>
      <dgm:spPr/>
      <dgm:t>
        <a:bodyPr/>
        <a:lstStyle/>
        <a:p>
          <a:r>
            <a:rPr lang="ar-JO"/>
            <a:t>الحالة</a:t>
          </a:r>
          <a:endParaRPr lang="en-US"/>
        </a:p>
      </dgm:t>
    </dgm:pt>
    <dgm:pt modelId="{B3A34449-2601-4226-BC81-5D8827F65215}" type="parTrans" cxnId="{2977D996-DC7D-4341-8BB4-C26E91A243D5}">
      <dgm:prSet/>
      <dgm:spPr/>
      <dgm:t>
        <a:bodyPr/>
        <a:lstStyle/>
        <a:p>
          <a:endParaRPr lang="en-US"/>
        </a:p>
      </dgm:t>
    </dgm:pt>
    <dgm:pt modelId="{65E29C65-7114-4229-895D-FFD4E16162EF}" type="sibTrans" cxnId="{2977D996-DC7D-4341-8BB4-C26E91A243D5}">
      <dgm:prSet/>
      <dgm:spPr/>
      <dgm:t>
        <a:bodyPr/>
        <a:lstStyle/>
        <a:p>
          <a:endParaRPr lang="en-US"/>
        </a:p>
      </dgm:t>
    </dgm:pt>
    <dgm:pt modelId="{EB6FDAAE-DA2C-47B4-8DEB-7B2372792781}">
      <dgm:prSet phldrT="[Text]"/>
      <dgm:spPr/>
      <dgm:t>
        <a:bodyPr/>
        <a:lstStyle/>
        <a:p>
          <a:r>
            <a:rPr lang="ar-JO"/>
            <a:t>شركة التمويل</a:t>
          </a:r>
          <a:endParaRPr lang="en-US"/>
        </a:p>
      </dgm:t>
    </dgm:pt>
    <dgm:pt modelId="{CF1043E6-6B0A-4DB2-B3D5-6F102CE5696E}" type="parTrans" cxnId="{B7264BBC-3343-4C53-9554-C78F5C44FD0A}">
      <dgm:prSet/>
      <dgm:spPr/>
      <dgm:t>
        <a:bodyPr/>
        <a:lstStyle/>
        <a:p>
          <a:endParaRPr lang="en-US"/>
        </a:p>
      </dgm:t>
    </dgm:pt>
    <dgm:pt modelId="{1E01B6BB-BD18-45E6-887E-EBC776999C96}" type="sibTrans" cxnId="{B7264BBC-3343-4C53-9554-C78F5C44FD0A}">
      <dgm:prSet/>
      <dgm:spPr/>
      <dgm:t>
        <a:bodyPr/>
        <a:lstStyle/>
        <a:p>
          <a:endParaRPr lang="en-US"/>
        </a:p>
      </dgm:t>
    </dgm:pt>
    <dgm:pt modelId="{C31BC0AE-2541-450E-BE44-2618035CF8D4}">
      <dgm:prSet phldrT="[Text]"/>
      <dgm:spPr/>
      <dgm:t>
        <a:bodyPr/>
        <a:lstStyle/>
        <a:p>
          <a:r>
            <a:rPr lang="ar-JO"/>
            <a:t>قيمة التمويل</a:t>
          </a:r>
          <a:endParaRPr lang="en-US"/>
        </a:p>
      </dgm:t>
    </dgm:pt>
    <dgm:pt modelId="{D24D9539-971F-407C-84A3-ECF4A19BD77A}" type="parTrans" cxnId="{A040E479-5462-4856-B78B-D13B410E7B82}">
      <dgm:prSet/>
      <dgm:spPr/>
      <dgm:t>
        <a:bodyPr/>
        <a:lstStyle/>
        <a:p>
          <a:endParaRPr lang="en-US"/>
        </a:p>
      </dgm:t>
    </dgm:pt>
    <dgm:pt modelId="{E3A8B069-EE3A-45F8-8696-39433EB77321}" type="sibTrans" cxnId="{A040E479-5462-4856-B78B-D13B410E7B82}">
      <dgm:prSet/>
      <dgm:spPr/>
      <dgm:t>
        <a:bodyPr/>
        <a:lstStyle/>
        <a:p>
          <a:endParaRPr lang="en-US"/>
        </a:p>
      </dgm:t>
    </dgm:pt>
    <dgm:pt modelId="{6C4DEB4C-3E46-4582-BB2D-0BF1E1185063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الكوثر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7E963911-7FBA-4220-9C02-7EBE2F642892}" type="parTrans" cxnId="{C537235B-F43A-4203-B732-C34F51C37194}">
      <dgm:prSet/>
      <dgm:spPr/>
      <dgm:t>
        <a:bodyPr/>
        <a:lstStyle/>
        <a:p>
          <a:endParaRPr lang="en-US"/>
        </a:p>
      </dgm:t>
    </dgm:pt>
    <dgm:pt modelId="{FDD2F117-AF09-4EC3-8A1D-7C7A7BA37295}" type="sibTrans" cxnId="{C537235B-F43A-4203-B732-C34F51C37194}">
      <dgm:prSet/>
      <dgm:spPr/>
      <dgm:t>
        <a:bodyPr/>
        <a:lstStyle/>
        <a:p>
          <a:endParaRPr lang="en-US"/>
        </a:p>
      </dgm:t>
    </dgm:pt>
    <dgm:pt modelId="{D1BDDF25-FEE3-464F-B681-536ED4361855}">
      <dgm:prSet phldrT="[Text]"/>
      <dgm:spPr/>
      <dgm:t>
        <a:bodyPr/>
        <a:lstStyle/>
        <a:p>
          <a:r>
            <a:rPr lang="ar-JO"/>
            <a:t>السماحة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1DB7D8AC-30F2-4CCB-A1AF-90610D86AFF9}" type="parTrans" cxnId="{0CEC2BCE-C073-4378-8307-FB542A377CCA}">
      <dgm:prSet/>
      <dgm:spPr/>
      <dgm:t>
        <a:bodyPr/>
        <a:lstStyle/>
        <a:p>
          <a:endParaRPr lang="en-US"/>
        </a:p>
      </dgm:t>
    </dgm:pt>
    <dgm:pt modelId="{8595DDB3-546C-440D-A8CE-051E788FD8CB}" type="sibTrans" cxnId="{0CEC2BCE-C073-4378-8307-FB542A377CCA}">
      <dgm:prSet/>
      <dgm:spPr/>
      <dgm:t>
        <a:bodyPr/>
        <a:lstStyle/>
        <a:p>
          <a:endParaRPr lang="en-US"/>
        </a:p>
      </dgm:t>
    </dgm:pt>
    <dgm:pt modelId="{451F1153-538E-43F6-857B-57F3ED5FD69D}">
      <dgm:prSet phldrT="[Text]"/>
      <dgm:spPr/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2E1403F0-F195-4F51-BE43-8892E354E0C3}" type="parTrans" cxnId="{6FA8DA58-A35E-40FC-A569-F2D48CCAE1FD}">
      <dgm:prSet/>
      <dgm:spPr/>
      <dgm:t>
        <a:bodyPr/>
        <a:lstStyle/>
        <a:p>
          <a:endParaRPr lang="en-US"/>
        </a:p>
      </dgm:t>
    </dgm:pt>
    <dgm:pt modelId="{DEF74ED7-CC33-420A-A075-17EEC49FEA4B}" type="sibTrans" cxnId="{6FA8DA58-A35E-40FC-A569-F2D48CCAE1FD}">
      <dgm:prSet/>
      <dgm:spPr/>
      <dgm:t>
        <a:bodyPr/>
        <a:lstStyle/>
        <a:p>
          <a:endParaRPr lang="en-US"/>
        </a:p>
      </dgm:t>
    </dgm:pt>
    <dgm:pt modelId="{8B69D1F3-E682-4781-A7A5-8EDDEBA21D2D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0ADDD0D2-5080-4913-8DF1-0480842EBE57}" type="parTrans" cxnId="{A08285B1-B708-4B98-BB42-0121C07906E1}">
      <dgm:prSet/>
      <dgm:spPr/>
      <dgm:t>
        <a:bodyPr/>
        <a:lstStyle/>
        <a:p>
          <a:endParaRPr lang="en-US"/>
        </a:p>
      </dgm:t>
    </dgm:pt>
    <dgm:pt modelId="{ACC11D66-B215-4BC9-BDD9-4C12C40D75F5}" type="sibTrans" cxnId="{A08285B1-B708-4B98-BB42-0121C07906E1}">
      <dgm:prSet/>
      <dgm:spPr/>
      <dgm:t>
        <a:bodyPr/>
        <a:lstStyle/>
        <a:p>
          <a:endParaRPr lang="en-US"/>
        </a:p>
      </dgm:t>
    </dgm:pt>
    <dgm:pt modelId="{E20B93F4-5DC8-4440-9DCD-F5DA134D5BA9}" type="pres">
      <dgm:prSet presAssocID="{3F96B515-9DA1-49E8-8ED0-1521B79D373C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A396D6BB-573C-4276-849B-DF5FCEBF4467}" type="pres">
      <dgm:prSet presAssocID="{3F96B515-9DA1-49E8-8ED0-1521B79D373C}" presName="hierFlow" presStyleCnt="0"/>
      <dgm:spPr/>
    </dgm:pt>
    <dgm:pt modelId="{013F9FCF-57B5-4ABA-A64E-0B27FBA7F702}" type="pres">
      <dgm:prSet presAssocID="{3F96B515-9DA1-49E8-8ED0-1521B79D373C}" presName="firstBuf" presStyleCnt="0"/>
      <dgm:spPr/>
    </dgm:pt>
    <dgm:pt modelId="{65165A0D-F288-4C97-AF71-32DA8F40E59E}" type="pres">
      <dgm:prSet presAssocID="{3F96B515-9DA1-49E8-8ED0-1521B79D373C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D122D0BC-3491-44C3-80AE-272C507C8D2B}" type="pres">
      <dgm:prSet presAssocID="{2BFFCEE8-C1EF-4ED6-BC76-DCE6A0700A75}" presName="Name17" presStyleCnt="0"/>
      <dgm:spPr/>
    </dgm:pt>
    <dgm:pt modelId="{7DA6821B-9231-44F2-B2E7-CD8100055D4C}" type="pres">
      <dgm:prSet presAssocID="{2BFFCEE8-C1EF-4ED6-BC76-DCE6A0700A75}" presName="level1Shape" presStyleLbl="node0" presStyleIdx="0" presStyleCnt="1">
        <dgm:presLayoutVars>
          <dgm:chPref val="3"/>
        </dgm:presLayoutVars>
      </dgm:prSet>
      <dgm:spPr/>
    </dgm:pt>
    <dgm:pt modelId="{37F8F4E5-3114-4DA1-B0E4-463D49349A63}" type="pres">
      <dgm:prSet presAssocID="{2BFFCEE8-C1EF-4ED6-BC76-DCE6A0700A75}" presName="hierChild2" presStyleCnt="0"/>
      <dgm:spPr/>
    </dgm:pt>
    <dgm:pt modelId="{D25DF05C-67FB-4983-A01B-C35F1734F8BA}" type="pres">
      <dgm:prSet presAssocID="{D4D46D60-D77B-4A45-BC91-56F557F140CE}" presName="Name25" presStyleLbl="parChTrans1D2" presStyleIdx="0" presStyleCnt="4"/>
      <dgm:spPr/>
    </dgm:pt>
    <dgm:pt modelId="{9206469B-A230-420E-A183-CFE95936140C}" type="pres">
      <dgm:prSet presAssocID="{D4D46D60-D77B-4A45-BC91-56F557F140CE}" presName="connTx" presStyleLbl="parChTrans1D2" presStyleIdx="0" presStyleCnt="4"/>
      <dgm:spPr/>
    </dgm:pt>
    <dgm:pt modelId="{5AA83151-E82B-4641-A759-33F507296828}" type="pres">
      <dgm:prSet presAssocID="{291C0361-0081-4CBF-BCCD-A61163884D99}" presName="Name30" presStyleCnt="0"/>
      <dgm:spPr/>
    </dgm:pt>
    <dgm:pt modelId="{22DE6E38-6284-4F96-8CA4-34BF4DA76247}" type="pres">
      <dgm:prSet presAssocID="{291C0361-0081-4CBF-BCCD-A61163884D99}" presName="level2Shape" presStyleLbl="node2" presStyleIdx="0" presStyleCnt="4"/>
      <dgm:spPr/>
    </dgm:pt>
    <dgm:pt modelId="{3DBDF957-7459-49E9-8CAA-744ADE169EBF}" type="pres">
      <dgm:prSet presAssocID="{291C0361-0081-4CBF-BCCD-A61163884D99}" presName="hierChild3" presStyleCnt="0"/>
      <dgm:spPr/>
    </dgm:pt>
    <dgm:pt modelId="{9F5D0CC9-33A5-4393-9516-87FB01DEDC55}" type="pres">
      <dgm:prSet presAssocID="{C8BF8F24-6DBA-4109-93C9-BCB245F13F4E}" presName="Name25" presStyleLbl="parChTrans1D3" presStyleIdx="0" presStyleCnt="4"/>
      <dgm:spPr/>
    </dgm:pt>
    <dgm:pt modelId="{1B772F9B-4553-4D9B-8D9E-43624ACE2CD2}" type="pres">
      <dgm:prSet presAssocID="{C8BF8F24-6DBA-4109-93C9-BCB245F13F4E}" presName="connTx" presStyleLbl="parChTrans1D3" presStyleIdx="0" presStyleCnt="4"/>
      <dgm:spPr/>
    </dgm:pt>
    <dgm:pt modelId="{7DFEB7BA-0E6F-4E19-AE2F-758222062860}" type="pres">
      <dgm:prSet presAssocID="{879A99C7-AAF8-440A-8142-D951BE729E65}" presName="Name30" presStyleCnt="0"/>
      <dgm:spPr/>
    </dgm:pt>
    <dgm:pt modelId="{EF6B63FC-5100-44CA-811F-55A3C426BF82}" type="pres">
      <dgm:prSet presAssocID="{879A99C7-AAF8-440A-8142-D951BE729E65}" presName="level2Shape" presStyleLbl="node3" presStyleIdx="0" presStyleCnt="4" custLinFactNeighborX="-2242" custLinFactNeighborY="2242"/>
      <dgm:spPr/>
    </dgm:pt>
    <dgm:pt modelId="{5B00A7CB-7F7D-4F8A-990D-A425A6FC4296}" type="pres">
      <dgm:prSet presAssocID="{879A99C7-AAF8-440A-8142-D951BE729E65}" presName="hierChild3" presStyleCnt="0"/>
      <dgm:spPr/>
    </dgm:pt>
    <dgm:pt modelId="{DC28C3CC-328C-48DD-B9BE-20BBC3E6738F}" type="pres">
      <dgm:prSet presAssocID="{AF765479-F67A-42C2-9401-0FF05EC09ED4}" presName="Name25" presStyleLbl="parChTrans1D2" presStyleIdx="1" presStyleCnt="4"/>
      <dgm:spPr/>
    </dgm:pt>
    <dgm:pt modelId="{2571B053-4443-4C32-B1B7-789E7C36B0AB}" type="pres">
      <dgm:prSet presAssocID="{AF765479-F67A-42C2-9401-0FF05EC09ED4}" presName="connTx" presStyleLbl="parChTrans1D2" presStyleIdx="1" presStyleCnt="4"/>
      <dgm:spPr/>
    </dgm:pt>
    <dgm:pt modelId="{2552CDFC-76A7-4A22-8F57-510FABA4B426}" type="pres">
      <dgm:prSet presAssocID="{7ADA4105-9B3A-43A2-AEBC-7B54E5634C57}" presName="Name30" presStyleCnt="0"/>
      <dgm:spPr/>
    </dgm:pt>
    <dgm:pt modelId="{E51F5A81-087F-4429-AF6F-2083F03AFA05}" type="pres">
      <dgm:prSet presAssocID="{7ADA4105-9B3A-43A2-AEBC-7B54E5634C57}" presName="level2Shape" presStyleLbl="node2" presStyleIdx="1" presStyleCnt="4"/>
      <dgm:spPr/>
    </dgm:pt>
    <dgm:pt modelId="{9F8906D4-6CA8-4CFE-8659-2176BFF9DA99}" type="pres">
      <dgm:prSet presAssocID="{7ADA4105-9B3A-43A2-AEBC-7B54E5634C57}" presName="hierChild3" presStyleCnt="0"/>
      <dgm:spPr/>
    </dgm:pt>
    <dgm:pt modelId="{A06BBD84-2BD5-47AA-8DA4-D5BC89D40EDF}" type="pres">
      <dgm:prSet presAssocID="{2E1403F0-F195-4F51-BE43-8892E354E0C3}" presName="Name25" presStyleLbl="parChTrans1D3" presStyleIdx="1" presStyleCnt="4"/>
      <dgm:spPr/>
    </dgm:pt>
    <dgm:pt modelId="{F7AE66CF-0141-4361-B2F7-A54E1BF11A19}" type="pres">
      <dgm:prSet presAssocID="{2E1403F0-F195-4F51-BE43-8892E354E0C3}" presName="connTx" presStyleLbl="parChTrans1D3" presStyleIdx="1" presStyleCnt="4"/>
      <dgm:spPr/>
    </dgm:pt>
    <dgm:pt modelId="{0EA11F83-F5E9-4D42-B59B-22B3C875AFC5}" type="pres">
      <dgm:prSet presAssocID="{451F1153-538E-43F6-857B-57F3ED5FD69D}" presName="Name30" presStyleCnt="0"/>
      <dgm:spPr/>
    </dgm:pt>
    <dgm:pt modelId="{0C33464E-0F17-4F5A-8088-1173D00C0B52}" type="pres">
      <dgm:prSet presAssocID="{451F1153-538E-43F6-857B-57F3ED5FD69D}" presName="level2Shape" presStyleLbl="node3" presStyleIdx="1" presStyleCnt="4"/>
      <dgm:spPr/>
    </dgm:pt>
    <dgm:pt modelId="{2D31B6BB-880B-4335-B6C4-81DC32837DE4}" type="pres">
      <dgm:prSet presAssocID="{451F1153-538E-43F6-857B-57F3ED5FD69D}" presName="hierChild3" presStyleCnt="0"/>
      <dgm:spPr/>
    </dgm:pt>
    <dgm:pt modelId="{0BAA4C06-8AAF-473F-A974-B50B33682FA4}" type="pres">
      <dgm:prSet presAssocID="{7E963911-7FBA-4220-9C02-7EBE2F642892}" presName="Name25" presStyleLbl="parChTrans1D2" presStyleIdx="2" presStyleCnt="4"/>
      <dgm:spPr/>
    </dgm:pt>
    <dgm:pt modelId="{3AC26F9E-FD97-4AFE-AE6D-E28B04645D69}" type="pres">
      <dgm:prSet presAssocID="{7E963911-7FBA-4220-9C02-7EBE2F642892}" presName="connTx" presStyleLbl="parChTrans1D2" presStyleIdx="2" presStyleCnt="4"/>
      <dgm:spPr/>
    </dgm:pt>
    <dgm:pt modelId="{F725AA7F-9F43-4E1E-AA04-C4916FC34CCE}" type="pres">
      <dgm:prSet presAssocID="{6C4DEB4C-3E46-4582-BB2D-0BF1E1185063}" presName="Name30" presStyleCnt="0"/>
      <dgm:spPr/>
    </dgm:pt>
    <dgm:pt modelId="{041C507A-4C72-48D6-9D15-7FDB8773A130}" type="pres">
      <dgm:prSet presAssocID="{6C4DEB4C-3E46-4582-BB2D-0BF1E1185063}" presName="level2Shape" presStyleLbl="node2" presStyleIdx="2" presStyleCnt="4"/>
      <dgm:spPr/>
    </dgm:pt>
    <dgm:pt modelId="{FCC9CB7E-E89C-4423-B847-4962759A1568}" type="pres">
      <dgm:prSet presAssocID="{6C4DEB4C-3E46-4582-BB2D-0BF1E1185063}" presName="hierChild3" presStyleCnt="0"/>
      <dgm:spPr/>
    </dgm:pt>
    <dgm:pt modelId="{C5937E6E-6D4D-4F4B-AACA-9185CD3A6C28}" type="pres">
      <dgm:prSet presAssocID="{0ADDD0D2-5080-4913-8DF1-0480842EBE57}" presName="Name25" presStyleLbl="parChTrans1D3" presStyleIdx="2" presStyleCnt="4"/>
      <dgm:spPr/>
    </dgm:pt>
    <dgm:pt modelId="{5B9077EF-F14D-4D7E-B9A5-1E690B16F6BA}" type="pres">
      <dgm:prSet presAssocID="{0ADDD0D2-5080-4913-8DF1-0480842EBE57}" presName="connTx" presStyleLbl="parChTrans1D3" presStyleIdx="2" presStyleCnt="4"/>
      <dgm:spPr/>
    </dgm:pt>
    <dgm:pt modelId="{5EF1EBD5-5E5C-48B0-A4ED-A108A62A84CA}" type="pres">
      <dgm:prSet presAssocID="{8B69D1F3-E682-4781-A7A5-8EDDEBA21D2D}" presName="Name30" presStyleCnt="0"/>
      <dgm:spPr/>
    </dgm:pt>
    <dgm:pt modelId="{38943DD7-311D-4570-B066-E6FD3E6468C4}" type="pres">
      <dgm:prSet presAssocID="{8B69D1F3-E682-4781-A7A5-8EDDEBA21D2D}" presName="level2Shape" presStyleLbl="node3" presStyleIdx="2" presStyleCnt="4"/>
      <dgm:spPr/>
    </dgm:pt>
    <dgm:pt modelId="{A505DE1D-9BDD-4901-A9A2-D8880A4FC813}" type="pres">
      <dgm:prSet presAssocID="{8B69D1F3-E682-4781-A7A5-8EDDEBA21D2D}" presName="hierChild3" presStyleCnt="0"/>
      <dgm:spPr/>
    </dgm:pt>
    <dgm:pt modelId="{A6690199-C997-4781-9273-E814457E641D}" type="pres">
      <dgm:prSet presAssocID="{1DB7D8AC-30F2-4CCB-A1AF-90610D86AFF9}" presName="Name25" presStyleLbl="parChTrans1D2" presStyleIdx="3" presStyleCnt="4"/>
      <dgm:spPr/>
    </dgm:pt>
    <dgm:pt modelId="{3DAF66C8-B94A-4F3C-AE2E-CE67EDE41599}" type="pres">
      <dgm:prSet presAssocID="{1DB7D8AC-30F2-4CCB-A1AF-90610D86AFF9}" presName="connTx" presStyleLbl="parChTrans1D2" presStyleIdx="3" presStyleCnt="4"/>
      <dgm:spPr/>
    </dgm:pt>
    <dgm:pt modelId="{62F0A60D-37C2-404B-AA62-ACE80B914EDC}" type="pres">
      <dgm:prSet presAssocID="{D1BDDF25-FEE3-464F-B681-536ED4361855}" presName="Name30" presStyleCnt="0"/>
      <dgm:spPr/>
    </dgm:pt>
    <dgm:pt modelId="{31D8E891-C037-4299-B2DA-2E293F5FC0E2}" type="pres">
      <dgm:prSet presAssocID="{D1BDDF25-FEE3-464F-B681-536ED4361855}" presName="level2Shape" presStyleLbl="node2" presStyleIdx="3" presStyleCnt="4"/>
      <dgm:spPr/>
    </dgm:pt>
    <dgm:pt modelId="{56B7E223-B464-46BB-8DFD-BFF4FA837CA4}" type="pres">
      <dgm:prSet presAssocID="{D1BDDF25-FEE3-464F-B681-536ED4361855}" presName="hierChild3" presStyleCnt="0"/>
      <dgm:spPr/>
    </dgm:pt>
    <dgm:pt modelId="{B55A7E13-D8E9-422F-BE3B-6B4D5C58AD32}" type="pres">
      <dgm:prSet presAssocID="{D97EAEF7-3B50-4A91-99A4-CA0F55F21673}" presName="Name25" presStyleLbl="parChTrans1D3" presStyleIdx="3" presStyleCnt="4"/>
      <dgm:spPr/>
    </dgm:pt>
    <dgm:pt modelId="{CDBE894C-751D-418A-AEC4-C7A4E09F01CF}" type="pres">
      <dgm:prSet presAssocID="{D97EAEF7-3B50-4A91-99A4-CA0F55F21673}" presName="connTx" presStyleLbl="parChTrans1D3" presStyleIdx="3" presStyleCnt="4"/>
      <dgm:spPr/>
    </dgm:pt>
    <dgm:pt modelId="{B839C56C-83B9-4BF8-B65A-6E2A165AB195}" type="pres">
      <dgm:prSet presAssocID="{DA0F9E65-CCD3-42FD-A490-60F6B86EC4B9}" presName="Name30" presStyleCnt="0"/>
      <dgm:spPr/>
    </dgm:pt>
    <dgm:pt modelId="{B9506D3D-1639-4409-900B-045125EA75F8}" type="pres">
      <dgm:prSet presAssocID="{DA0F9E65-CCD3-42FD-A490-60F6B86EC4B9}" presName="level2Shape" presStyleLbl="node3" presStyleIdx="3" presStyleCnt="4" custLinFactNeighborX="-2242" custLinFactNeighborY="-2242"/>
      <dgm:spPr/>
    </dgm:pt>
    <dgm:pt modelId="{C493B6A6-E7D7-4EA5-8FAE-6C1E5391609A}" type="pres">
      <dgm:prSet presAssocID="{DA0F9E65-CCD3-42FD-A490-60F6B86EC4B9}" presName="hierChild3" presStyleCnt="0"/>
      <dgm:spPr/>
    </dgm:pt>
    <dgm:pt modelId="{386F6729-ADEB-4690-AC51-AE758497DB09}" type="pres">
      <dgm:prSet presAssocID="{3F96B515-9DA1-49E8-8ED0-1521B79D373C}" presName="bgShapesFlow" presStyleCnt="0"/>
      <dgm:spPr/>
    </dgm:pt>
    <dgm:pt modelId="{633D16DB-D4EE-43F5-AED4-0E56CF70EAC0}" type="pres">
      <dgm:prSet presAssocID="{867861A5-117E-48F6-B773-3AC04E2563A8}" presName="rectComp" presStyleCnt="0"/>
      <dgm:spPr/>
    </dgm:pt>
    <dgm:pt modelId="{5853739F-5B39-4B0A-B6A0-0E8C08F96D01}" type="pres">
      <dgm:prSet presAssocID="{867861A5-117E-48F6-B773-3AC04E2563A8}" presName="bgRect" presStyleLbl="bgShp" presStyleIdx="0" presStyleCnt="3" custLinFactNeighborX="-1868"/>
      <dgm:spPr/>
    </dgm:pt>
    <dgm:pt modelId="{E098E4AA-798C-4C41-9724-12DCB176311B}" type="pres">
      <dgm:prSet presAssocID="{867861A5-117E-48F6-B773-3AC04E2563A8}" presName="bgRectTx" presStyleLbl="bgShp" presStyleIdx="0" presStyleCnt="3">
        <dgm:presLayoutVars>
          <dgm:bulletEnabled val="1"/>
        </dgm:presLayoutVars>
      </dgm:prSet>
      <dgm:spPr/>
    </dgm:pt>
    <dgm:pt modelId="{F4593E0F-8C4F-4011-B6AA-FBF3B1F78C78}" type="pres">
      <dgm:prSet presAssocID="{867861A5-117E-48F6-B773-3AC04E2563A8}" presName="spComp" presStyleCnt="0"/>
      <dgm:spPr/>
    </dgm:pt>
    <dgm:pt modelId="{55242B1B-0F60-4F80-A6AC-7CB877434038}" type="pres">
      <dgm:prSet presAssocID="{867861A5-117E-48F6-B773-3AC04E2563A8}" presName="hSp" presStyleCnt="0"/>
      <dgm:spPr/>
    </dgm:pt>
    <dgm:pt modelId="{576F2537-F525-4E23-9C16-D00E87C84F8C}" type="pres">
      <dgm:prSet presAssocID="{EB6FDAAE-DA2C-47B4-8DEB-7B2372792781}" presName="rectComp" presStyleCnt="0"/>
      <dgm:spPr/>
    </dgm:pt>
    <dgm:pt modelId="{59732403-0095-49FE-B6B7-6A64B101C583}" type="pres">
      <dgm:prSet presAssocID="{EB6FDAAE-DA2C-47B4-8DEB-7B2372792781}" presName="bgRect" presStyleLbl="bgShp" presStyleIdx="1" presStyleCnt="3"/>
      <dgm:spPr/>
    </dgm:pt>
    <dgm:pt modelId="{351ED100-6A09-4742-A835-B7064684BABF}" type="pres">
      <dgm:prSet presAssocID="{EB6FDAAE-DA2C-47B4-8DEB-7B2372792781}" presName="bgRectTx" presStyleLbl="bgShp" presStyleIdx="1" presStyleCnt="3">
        <dgm:presLayoutVars>
          <dgm:bulletEnabled val="1"/>
        </dgm:presLayoutVars>
      </dgm:prSet>
      <dgm:spPr/>
    </dgm:pt>
    <dgm:pt modelId="{FEC2BD11-95EC-48ED-91BE-3A1F2A2D5609}" type="pres">
      <dgm:prSet presAssocID="{EB6FDAAE-DA2C-47B4-8DEB-7B2372792781}" presName="spComp" presStyleCnt="0"/>
      <dgm:spPr/>
    </dgm:pt>
    <dgm:pt modelId="{EEC56BEA-9E68-409C-9434-C6D1DDD92303}" type="pres">
      <dgm:prSet presAssocID="{EB6FDAAE-DA2C-47B4-8DEB-7B2372792781}" presName="hSp" presStyleCnt="0"/>
      <dgm:spPr/>
    </dgm:pt>
    <dgm:pt modelId="{202A1709-0526-42F9-B572-F515CC2221C2}" type="pres">
      <dgm:prSet presAssocID="{C31BC0AE-2541-450E-BE44-2618035CF8D4}" presName="rectComp" presStyleCnt="0"/>
      <dgm:spPr/>
    </dgm:pt>
    <dgm:pt modelId="{F1D1DD74-2EED-4D63-8C11-5D2AA97DD035}" type="pres">
      <dgm:prSet presAssocID="{C31BC0AE-2541-450E-BE44-2618035CF8D4}" presName="bgRect" presStyleLbl="bgShp" presStyleIdx="2" presStyleCnt="3"/>
      <dgm:spPr/>
    </dgm:pt>
    <dgm:pt modelId="{D545C72D-A9EB-475C-BDCD-C897EED5E08C}" type="pres">
      <dgm:prSet presAssocID="{C31BC0AE-2541-450E-BE44-2618035CF8D4}" presName="bgRectTx" presStyleLbl="bgShp" presStyleIdx="2" presStyleCnt="3">
        <dgm:presLayoutVars>
          <dgm:bulletEnabled val="1"/>
        </dgm:presLayoutVars>
      </dgm:prSet>
      <dgm:spPr/>
    </dgm:pt>
  </dgm:ptLst>
  <dgm:cxnLst>
    <dgm:cxn modelId="{E671C505-F7E2-4D75-86BA-659CAEDBC541}" type="presOf" srcId="{6C4DEB4C-3E46-4582-BB2D-0BF1E1185063}" destId="{041C507A-4C72-48D6-9D15-7FDB8773A130}" srcOrd="0" destOrd="0" presId="urn:microsoft.com/office/officeart/2005/8/layout/hierarchy5"/>
    <dgm:cxn modelId="{DD463A0E-90BD-4AFC-A35E-688E798A6FF4}" type="presOf" srcId="{C31BC0AE-2541-450E-BE44-2618035CF8D4}" destId="{F1D1DD74-2EED-4D63-8C11-5D2AA97DD035}" srcOrd="0" destOrd="0" presId="urn:microsoft.com/office/officeart/2005/8/layout/hierarchy5"/>
    <dgm:cxn modelId="{506FFD0E-55CE-442F-B538-C224F655B738}" type="presOf" srcId="{AF765479-F67A-42C2-9401-0FF05EC09ED4}" destId="{DC28C3CC-328C-48DD-B9BE-20BBC3E6738F}" srcOrd="0" destOrd="0" presId="urn:microsoft.com/office/officeart/2005/8/layout/hierarchy5"/>
    <dgm:cxn modelId="{E89A6C0F-59F9-499C-AB28-D47F21F11293}" type="presOf" srcId="{0ADDD0D2-5080-4913-8DF1-0480842EBE57}" destId="{C5937E6E-6D4D-4F4B-AACA-9185CD3A6C28}" srcOrd="0" destOrd="0" presId="urn:microsoft.com/office/officeart/2005/8/layout/hierarchy5"/>
    <dgm:cxn modelId="{EE7D7413-873C-4899-9BC7-9CF89331DCCD}" type="presOf" srcId="{D97EAEF7-3B50-4A91-99A4-CA0F55F21673}" destId="{CDBE894C-751D-418A-AEC4-C7A4E09F01CF}" srcOrd="1" destOrd="0" presId="urn:microsoft.com/office/officeart/2005/8/layout/hierarchy5"/>
    <dgm:cxn modelId="{D79AF914-C11D-46A2-9264-AF18B6EDFA02}" type="presOf" srcId="{867861A5-117E-48F6-B773-3AC04E2563A8}" destId="{E098E4AA-798C-4C41-9724-12DCB176311B}" srcOrd="1" destOrd="0" presId="urn:microsoft.com/office/officeart/2005/8/layout/hierarchy5"/>
    <dgm:cxn modelId="{C0387815-813B-46C9-B6AC-BC1F6DA17167}" type="presOf" srcId="{2E1403F0-F195-4F51-BE43-8892E354E0C3}" destId="{F7AE66CF-0141-4361-B2F7-A54E1BF11A19}" srcOrd="1" destOrd="0" presId="urn:microsoft.com/office/officeart/2005/8/layout/hierarchy5"/>
    <dgm:cxn modelId="{A10A2118-1DAE-40B5-BEAF-68FAAC7387BE}" type="presOf" srcId="{291C0361-0081-4CBF-BCCD-A61163884D99}" destId="{22DE6E38-6284-4F96-8CA4-34BF4DA76247}" srcOrd="0" destOrd="0" presId="urn:microsoft.com/office/officeart/2005/8/layout/hierarchy5"/>
    <dgm:cxn modelId="{AB262820-D28A-426C-8FA2-C08C2D0EB6FC}" type="presOf" srcId="{879A99C7-AAF8-440A-8142-D951BE729E65}" destId="{EF6B63FC-5100-44CA-811F-55A3C426BF82}" srcOrd="0" destOrd="0" presId="urn:microsoft.com/office/officeart/2005/8/layout/hierarchy5"/>
    <dgm:cxn modelId="{3A79E030-F6E2-4B71-AB2B-0C64AED272E1}" type="presOf" srcId="{867861A5-117E-48F6-B773-3AC04E2563A8}" destId="{5853739F-5B39-4B0A-B6A0-0E8C08F96D01}" srcOrd="0" destOrd="0" presId="urn:microsoft.com/office/officeart/2005/8/layout/hierarchy5"/>
    <dgm:cxn modelId="{4FA58E37-B9CD-4C7E-B0AB-E923D3DE9267}" type="presOf" srcId="{D1BDDF25-FEE3-464F-B681-536ED4361855}" destId="{31D8E891-C037-4299-B2DA-2E293F5FC0E2}" srcOrd="0" destOrd="0" presId="urn:microsoft.com/office/officeart/2005/8/layout/hierarchy5"/>
    <dgm:cxn modelId="{CA80EF3D-8C9F-494F-ABA1-9221DF6BBF22}" type="presOf" srcId="{1DB7D8AC-30F2-4CCB-A1AF-90610D86AFF9}" destId="{A6690199-C997-4781-9273-E814457E641D}" srcOrd="0" destOrd="0" presId="urn:microsoft.com/office/officeart/2005/8/layout/hierarchy5"/>
    <dgm:cxn modelId="{C537235B-F43A-4203-B732-C34F51C37194}" srcId="{2BFFCEE8-C1EF-4ED6-BC76-DCE6A0700A75}" destId="{6C4DEB4C-3E46-4582-BB2D-0BF1E1185063}" srcOrd="2" destOrd="0" parTransId="{7E963911-7FBA-4220-9C02-7EBE2F642892}" sibTransId="{FDD2F117-AF09-4EC3-8A1D-7C7A7BA37295}"/>
    <dgm:cxn modelId="{904E2842-42ED-44ED-859C-384F7DFCBC26}" srcId="{3F96B515-9DA1-49E8-8ED0-1521B79D373C}" destId="{2BFFCEE8-C1EF-4ED6-BC76-DCE6A0700A75}" srcOrd="0" destOrd="0" parTransId="{31E17A16-7D11-404B-98F0-AE2F92DEE14B}" sibTransId="{1C5C2AA8-E096-4FDB-9D64-8A240D13E81E}"/>
    <dgm:cxn modelId="{78767D43-7DDE-482C-8BBA-E365D3196AB8}" type="presOf" srcId="{D4D46D60-D77B-4A45-BC91-56F557F140CE}" destId="{9206469B-A230-420E-A183-CFE95936140C}" srcOrd="1" destOrd="0" presId="urn:microsoft.com/office/officeart/2005/8/layout/hierarchy5"/>
    <dgm:cxn modelId="{36E54544-06F4-4E09-8819-8A9A60EA1214}" srcId="{2BFFCEE8-C1EF-4ED6-BC76-DCE6A0700A75}" destId="{7ADA4105-9B3A-43A2-AEBC-7B54E5634C57}" srcOrd="1" destOrd="0" parTransId="{AF765479-F67A-42C2-9401-0FF05EC09ED4}" sibTransId="{69D0C0CD-A492-4C46-BA5D-101F110F9A1A}"/>
    <dgm:cxn modelId="{C98CEC4E-0F4B-4A90-AE3A-EFB3E614AAA6}" type="presOf" srcId="{7ADA4105-9B3A-43A2-AEBC-7B54E5634C57}" destId="{E51F5A81-087F-4429-AF6F-2083F03AFA05}" srcOrd="0" destOrd="0" presId="urn:microsoft.com/office/officeart/2005/8/layout/hierarchy5"/>
    <dgm:cxn modelId="{63027651-AF8D-4433-B17C-A3530A4DDF06}" type="presOf" srcId="{DA0F9E65-CCD3-42FD-A490-60F6B86EC4B9}" destId="{B9506D3D-1639-4409-900B-045125EA75F8}" srcOrd="0" destOrd="0" presId="urn:microsoft.com/office/officeart/2005/8/layout/hierarchy5"/>
    <dgm:cxn modelId="{01221772-266A-4232-90A8-8752AFAE7247}" type="presOf" srcId="{7E963911-7FBA-4220-9C02-7EBE2F642892}" destId="{0BAA4C06-8AAF-473F-A974-B50B33682FA4}" srcOrd="0" destOrd="0" presId="urn:microsoft.com/office/officeart/2005/8/layout/hierarchy5"/>
    <dgm:cxn modelId="{AD257653-79E7-4F27-91F8-88E55B766C21}" type="presOf" srcId="{2BFFCEE8-C1EF-4ED6-BC76-DCE6A0700A75}" destId="{7DA6821B-9231-44F2-B2E7-CD8100055D4C}" srcOrd="0" destOrd="0" presId="urn:microsoft.com/office/officeart/2005/8/layout/hierarchy5"/>
    <dgm:cxn modelId="{D91E5774-5E46-42D7-8387-4D20DCBB427D}" type="presOf" srcId="{451F1153-538E-43F6-857B-57F3ED5FD69D}" destId="{0C33464E-0F17-4F5A-8088-1173D00C0B52}" srcOrd="0" destOrd="0" presId="urn:microsoft.com/office/officeart/2005/8/layout/hierarchy5"/>
    <dgm:cxn modelId="{AC9FC878-9A73-4D1D-9AAD-3EE3BC686765}" type="presOf" srcId="{AF765479-F67A-42C2-9401-0FF05EC09ED4}" destId="{2571B053-4443-4C32-B1B7-789E7C36B0AB}" srcOrd="1" destOrd="0" presId="urn:microsoft.com/office/officeart/2005/8/layout/hierarchy5"/>
    <dgm:cxn modelId="{6FA8DA58-A35E-40FC-A569-F2D48CCAE1FD}" srcId="{7ADA4105-9B3A-43A2-AEBC-7B54E5634C57}" destId="{451F1153-538E-43F6-857B-57F3ED5FD69D}" srcOrd="0" destOrd="0" parTransId="{2E1403F0-F195-4F51-BE43-8892E354E0C3}" sibTransId="{DEF74ED7-CC33-420A-A075-17EEC49FEA4B}"/>
    <dgm:cxn modelId="{A3E14679-590C-4C8F-A3DD-F4586360C9C7}" type="presOf" srcId="{3F96B515-9DA1-49E8-8ED0-1521B79D373C}" destId="{E20B93F4-5DC8-4440-9DCD-F5DA134D5BA9}" srcOrd="0" destOrd="0" presId="urn:microsoft.com/office/officeart/2005/8/layout/hierarchy5"/>
    <dgm:cxn modelId="{D2D47B79-2913-48B7-A8FD-C3B127F4FEE2}" type="presOf" srcId="{1DB7D8AC-30F2-4CCB-A1AF-90610D86AFF9}" destId="{3DAF66C8-B94A-4F3C-AE2E-CE67EDE41599}" srcOrd="1" destOrd="0" presId="urn:microsoft.com/office/officeart/2005/8/layout/hierarchy5"/>
    <dgm:cxn modelId="{5B21AD79-98B6-4004-8338-FE8AF162A8D0}" type="presOf" srcId="{2E1403F0-F195-4F51-BE43-8892E354E0C3}" destId="{A06BBD84-2BD5-47AA-8DA4-D5BC89D40EDF}" srcOrd="0" destOrd="0" presId="urn:microsoft.com/office/officeart/2005/8/layout/hierarchy5"/>
    <dgm:cxn modelId="{A040E479-5462-4856-B78B-D13B410E7B82}" srcId="{3F96B515-9DA1-49E8-8ED0-1521B79D373C}" destId="{C31BC0AE-2541-450E-BE44-2618035CF8D4}" srcOrd="3" destOrd="0" parTransId="{D24D9539-971F-407C-84A3-ECF4A19BD77A}" sibTransId="{E3A8B069-EE3A-45F8-8696-39433EB77321}"/>
    <dgm:cxn modelId="{8674AE7D-7808-4B2C-8981-EE5003F6999B}" type="presOf" srcId="{C8BF8F24-6DBA-4109-93C9-BCB245F13F4E}" destId="{9F5D0CC9-33A5-4393-9516-87FB01DEDC55}" srcOrd="0" destOrd="0" presId="urn:microsoft.com/office/officeart/2005/8/layout/hierarchy5"/>
    <dgm:cxn modelId="{ADAD0D83-CA8C-4370-9279-30490C487E0B}" srcId="{291C0361-0081-4CBF-BCCD-A61163884D99}" destId="{879A99C7-AAF8-440A-8142-D951BE729E65}" srcOrd="0" destOrd="0" parTransId="{C8BF8F24-6DBA-4109-93C9-BCB245F13F4E}" sibTransId="{D82D63D3-00E8-45FF-839D-9CE8A76F79AA}"/>
    <dgm:cxn modelId="{E0999788-056D-40D9-B081-5C68720A8B21}" type="presOf" srcId="{C8BF8F24-6DBA-4109-93C9-BCB245F13F4E}" destId="{1B772F9B-4553-4D9B-8D9E-43624ACE2CD2}" srcOrd="1" destOrd="0" presId="urn:microsoft.com/office/officeart/2005/8/layout/hierarchy5"/>
    <dgm:cxn modelId="{859E948A-2F74-425D-8D5C-506B02355736}" type="presOf" srcId="{C31BC0AE-2541-450E-BE44-2618035CF8D4}" destId="{D545C72D-A9EB-475C-BDCD-C897EED5E08C}" srcOrd="1" destOrd="0" presId="urn:microsoft.com/office/officeart/2005/8/layout/hierarchy5"/>
    <dgm:cxn modelId="{FD64E38C-FD37-48FD-9F44-1219978364DE}" type="presOf" srcId="{EB6FDAAE-DA2C-47B4-8DEB-7B2372792781}" destId="{351ED100-6A09-4742-A835-B7064684BABF}" srcOrd="1" destOrd="0" presId="urn:microsoft.com/office/officeart/2005/8/layout/hierarchy5"/>
    <dgm:cxn modelId="{1BD64593-B28D-4971-84A8-23AED96D7C83}" type="presOf" srcId="{D4D46D60-D77B-4A45-BC91-56F557F140CE}" destId="{D25DF05C-67FB-4983-A01B-C35F1734F8BA}" srcOrd="0" destOrd="0" presId="urn:microsoft.com/office/officeart/2005/8/layout/hierarchy5"/>
    <dgm:cxn modelId="{2977D996-DC7D-4341-8BB4-C26E91A243D5}" srcId="{3F96B515-9DA1-49E8-8ED0-1521B79D373C}" destId="{867861A5-117E-48F6-B773-3AC04E2563A8}" srcOrd="1" destOrd="0" parTransId="{B3A34449-2601-4226-BC81-5D8827F65215}" sibTransId="{65E29C65-7114-4229-895D-FFD4E16162EF}"/>
    <dgm:cxn modelId="{41EED699-F06A-4E34-9FD6-36D662CA6E7F}" type="presOf" srcId="{D97EAEF7-3B50-4A91-99A4-CA0F55F21673}" destId="{B55A7E13-D8E9-422F-BE3B-6B4D5C58AD32}" srcOrd="0" destOrd="0" presId="urn:microsoft.com/office/officeart/2005/8/layout/hierarchy5"/>
    <dgm:cxn modelId="{9762429D-64D8-4D31-91F9-681031DA5451}" srcId="{2BFFCEE8-C1EF-4ED6-BC76-DCE6A0700A75}" destId="{291C0361-0081-4CBF-BCCD-A61163884D99}" srcOrd="0" destOrd="0" parTransId="{D4D46D60-D77B-4A45-BC91-56F557F140CE}" sibTransId="{8ECFE82A-14E2-4137-AB93-F93D9A7B164A}"/>
    <dgm:cxn modelId="{379CF0A9-4143-4697-92BE-DEA22F938743}" srcId="{D1BDDF25-FEE3-464F-B681-536ED4361855}" destId="{DA0F9E65-CCD3-42FD-A490-60F6B86EC4B9}" srcOrd="0" destOrd="0" parTransId="{D97EAEF7-3B50-4A91-99A4-CA0F55F21673}" sibTransId="{65D0D0C7-524F-4DE1-A52B-6BDA9D2EB070}"/>
    <dgm:cxn modelId="{A08285B1-B708-4B98-BB42-0121C07906E1}" srcId="{6C4DEB4C-3E46-4582-BB2D-0BF1E1185063}" destId="{8B69D1F3-E682-4781-A7A5-8EDDEBA21D2D}" srcOrd="0" destOrd="0" parTransId="{0ADDD0D2-5080-4913-8DF1-0480842EBE57}" sibTransId="{ACC11D66-B215-4BC9-BDD9-4C12C40D75F5}"/>
    <dgm:cxn modelId="{C9F198B4-8B5D-415F-9F93-1B5678E59CA3}" type="presOf" srcId="{0ADDD0D2-5080-4913-8DF1-0480842EBE57}" destId="{5B9077EF-F14D-4D7E-B9A5-1E690B16F6BA}" srcOrd="1" destOrd="0" presId="urn:microsoft.com/office/officeart/2005/8/layout/hierarchy5"/>
    <dgm:cxn modelId="{B7264BBC-3343-4C53-9554-C78F5C44FD0A}" srcId="{3F96B515-9DA1-49E8-8ED0-1521B79D373C}" destId="{EB6FDAAE-DA2C-47B4-8DEB-7B2372792781}" srcOrd="2" destOrd="0" parTransId="{CF1043E6-6B0A-4DB2-B3D5-6F102CE5696E}" sibTransId="{1E01B6BB-BD18-45E6-887E-EBC776999C96}"/>
    <dgm:cxn modelId="{FF8D73BE-6BD2-48EC-81D9-6C1FDB208BA5}" type="presOf" srcId="{7E963911-7FBA-4220-9C02-7EBE2F642892}" destId="{3AC26F9E-FD97-4AFE-AE6D-E28B04645D69}" srcOrd="1" destOrd="0" presId="urn:microsoft.com/office/officeart/2005/8/layout/hierarchy5"/>
    <dgm:cxn modelId="{0CEC2BCE-C073-4378-8307-FB542A377CCA}" srcId="{2BFFCEE8-C1EF-4ED6-BC76-DCE6A0700A75}" destId="{D1BDDF25-FEE3-464F-B681-536ED4361855}" srcOrd="3" destOrd="0" parTransId="{1DB7D8AC-30F2-4CCB-A1AF-90610D86AFF9}" sibTransId="{8595DDB3-546C-440D-A8CE-051E788FD8CB}"/>
    <dgm:cxn modelId="{E0BEB7EC-ADD1-4A2E-9BD6-51793479F7E9}" type="presOf" srcId="{8B69D1F3-E682-4781-A7A5-8EDDEBA21D2D}" destId="{38943DD7-311D-4570-B066-E6FD3E6468C4}" srcOrd="0" destOrd="0" presId="urn:microsoft.com/office/officeart/2005/8/layout/hierarchy5"/>
    <dgm:cxn modelId="{AAAAD4EF-3958-459E-8A93-5D978F208876}" type="presOf" srcId="{EB6FDAAE-DA2C-47B4-8DEB-7B2372792781}" destId="{59732403-0095-49FE-B6B7-6A64B101C583}" srcOrd="0" destOrd="0" presId="urn:microsoft.com/office/officeart/2005/8/layout/hierarchy5"/>
    <dgm:cxn modelId="{2FF1FAD9-E3F8-4B6B-8ACE-5C39660A801E}" type="presParOf" srcId="{E20B93F4-5DC8-4440-9DCD-F5DA134D5BA9}" destId="{A396D6BB-573C-4276-849B-DF5FCEBF4467}" srcOrd="0" destOrd="0" presId="urn:microsoft.com/office/officeart/2005/8/layout/hierarchy5"/>
    <dgm:cxn modelId="{D2CE6869-A1A6-4961-AB6D-C388E29725AF}" type="presParOf" srcId="{A396D6BB-573C-4276-849B-DF5FCEBF4467}" destId="{013F9FCF-57B5-4ABA-A64E-0B27FBA7F702}" srcOrd="0" destOrd="0" presId="urn:microsoft.com/office/officeart/2005/8/layout/hierarchy5"/>
    <dgm:cxn modelId="{3F3F6B85-479B-4D53-A593-8C5AA08A12A3}" type="presParOf" srcId="{A396D6BB-573C-4276-849B-DF5FCEBF4467}" destId="{65165A0D-F288-4C97-AF71-32DA8F40E59E}" srcOrd="1" destOrd="0" presId="urn:microsoft.com/office/officeart/2005/8/layout/hierarchy5"/>
    <dgm:cxn modelId="{FF5AEBD2-A336-4A2A-B90A-46D7F3EF7374}" type="presParOf" srcId="{65165A0D-F288-4C97-AF71-32DA8F40E59E}" destId="{D122D0BC-3491-44C3-80AE-272C507C8D2B}" srcOrd="0" destOrd="0" presId="urn:microsoft.com/office/officeart/2005/8/layout/hierarchy5"/>
    <dgm:cxn modelId="{5E8C8DB1-475B-40A8-87FE-09B038A7B944}" type="presParOf" srcId="{D122D0BC-3491-44C3-80AE-272C507C8D2B}" destId="{7DA6821B-9231-44F2-B2E7-CD8100055D4C}" srcOrd="0" destOrd="0" presId="urn:microsoft.com/office/officeart/2005/8/layout/hierarchy5"/>
    <dgm:cxn modelId="{D39601C9-6F52-4C9D-8926-2BB35AEBE96E}" type="presParOf" srcId="{D122D0BC-3491-44C3-80AE-272C507C8D2B}" destId="{37F8F4E5-3114-4DA1-B0E4-463D49349A63}" srcOrd="1" destOrd="0" presId="urn:microsoft.com/office/officeart/2005/8/layout/hierarchy5"/>
    <dgm:cxn modelId="{BD095E41-76A4-49AE-9781-575DB0BB477A}" type="presParOf" srcId="{37F8F4E5-3114-4DA1-B0E4-463D49349A63}" destId="{D25DF05C-67FB-4983-A01B-C35F1734F8BA}" srcOrd="0" destOrd="0" presId="urn:microsoft.com/office/officeart/2005/8/layout/hierarchy5"/>
    <dgm:cxn modelId="{0B64A263-55CD-446B-B565-09854197E135}" type="presParOf" srcId="{D25DF05C-67FB-4983-A01B-C35F1734F8BA}" destId="{9206469B-A230-420E-A183-CFE95936140C}" srcOrd="0" destOrd="0" presId="urn:microsoft.com/office/officeart/2005/8/layout/hierarchy5"/>
    <dgm:cxn modelId="{6DE1ED33-14D4-4BAF-821F-A8D0F53E7454}" type="presParOf" srcId="{37F8F4E5-3114-4DA1-B0E4-463D49349A63}" destId="{5AA83151-E82B-4641-A759-33F507296828}" srcOrd="1" destOrd="0" presId="urn:microsoft.com/office/officeart/2005/8/layout/hierarchy5"/>
    <dgm:cxn modelId="{9516FCE5-5D1E-47A6-9691-9DF6ACD4D120}" type="presParOf" srcId="{5AA83151-E82B-4641-A759-33F507296828}" destId="{22DE6E38-6284-4F96-8CA4-34BF4DA76247}" srcOrd="0" destOrd="0" presId="urn:microsoft.com/office/officeart/2005/8/layout/hierarchy5"/>
    <dgm:cxn modelId="{2E45436A-5D14-40E3-B25B-CA1B124B71F8}" type="presParOf" srcId="{5AA83151-E82B-4641-A759-33F507296828}" destId="{3DBDF957-7459-49E9-8CAA-744ADE169EBF}" srcOrd="1" destOrd="0" presId="urn:microsoft.com/office/officeart/2005/8/layout/hierarchy5"/>
    <dgm:cxn modelId="{D7AEDF70-0247-42CB-BE8A-E78B1BDFE754}" type="presParOf" srcId="{3DBDF957-7459-49E9-8CAA-744ADE169EBF}" destId="{9F5D0CC9-33A5-4393-9516-87FB01DEDC55}" srcOrd="0" destOrd="0" presId="urn:microsoft.com/office/officeart/2005/8/layout/hierarchy5"/>
    <dgm:cxn modelId="{DC398625-697D-415C-8CBD-F8C653352845}" type="presParOf" srcId="{9F5D0CC9-33A5-4393-9516-87FB01DEDC55}" destId="{1B772F9B-4553-4D9B-8D9E-43624ACE2CD2}" srcOrd="0" destOrd="0" presId="urn:microsoft.com/office/officeart/2005/8/layout/hierarchy5"/>
    <dgm:cxn modelId="{B297F0B6-D982-475C-895C-FFD33AA90FF4}" type="presParOf" srcId="{3DBDF957-7459-49E9-8CAA-744ADE169EBF}" destId="{7DFEB7BA-0E6F-4E19-AE2F-758222062860}" srcOrd="1" destOrd="0" presId="urn:microsoft.com/office/officeart/2005/8/layout/hierarchy5"/>
    <dgm:cxn modelId="{FD911C30-02F4-4DA8-846E-364D20F8F9BD}" type="presParOf" srcId="{7DFEB7BA-0E6F-4E19-AE2F-758222062860}" destId="{EF6B63FC-5100-44CA-811F-55A3C426BF82}" srcOrd="0" destOrd="0" presId="urn:microsoft.com/office/officeart/2005/8/layout/hierarchy5"/>
    <dgm:cxn modelId="{330DE89F-6D99-452E-9EB4-76F93647A646}" type="presParOf" srcId="{7DFEB7BA-0E6F-4E19-AE2F-758222062860}" destId="{5B00A7CB-7F7D-4F8A-990D-A425A6FC4296}" srcOrd="1" destOrd="0" presId="urn:microsoft.com/office/officeart/2005/8/layout/hierarchy5"/>
    <dgm:cxn modelId="{6E8E242B-3930-4091-898F-3BA2F1A3D3B5}" type="presParOf" srcId="{37F8F4E5-3114-4DA1-B0E4-463D49349A63}" destId="{DC28C3CC-328C-48DD-B9BE-20BBC3E6738F}" srcOrd="2" destOrd="0" presId="urn:microsoft.com/office/officeart/2005/8/layout/hierarchy5"/>
    <dgm:cxn modelId="{516200C3-8347-4E8A-AD0E-AE82DE48E7B9}" type="presParOf" srcId="{DC28C3CC-328C-48DD-B9BE-20BBC3E6738F}" destId="{2571B053-4443-4C32-B1B7-789E7C36B0AB}" srcOrd="0" destOrd="0" presId="urn:microsoft.com/office/officeart/2005/8/layout/hierarchy5"/>
    <dgm:cxn modelId="{38D941A8-47E6-4B6D-9FAE-52B7EEE75301}" type="presParOf" srcId="{37F8F4E5-3114-4DA1-B0E4-463D49349A63}" destId="{2552CDFC-76A7-4A22-8F57-510FABA4B426}" srcOrd="3" destOrd="0" presId="urn:microsoft.com/office/officeart/2005/8/layout/hierarchy5"/>
    <dgm:cxn modelId="{03D79DCB-45CE-468D-99F9-A1D7A4384960}" type="presParOf" srcId="{2552CDFC-76A7-4A22-8F57-510FABA4B426}" destId="{E51F5A81-087F-4429-AF6F-2083F03AFA05}" srcOrd="0" destOrd="0" presId="urn:microsoft.com/office/officeart/2005/8/layout/hierarchy5"/>
    <dgm:cxn modelId="{505C1642-2F24-4A4E-9DB4-84D156DBB48C}" type="presParOf" srcId="{2552CDFC-76A7-4A22-8F57-510FABA4B426}" destId="{9F8906D4-6CA8-4CFE-8659-2176BFF9DA99}" srcOrd="1" destOrd="0" presId="urn:microsoft.com/office/officeart/2005/8/layout/hierarchy5"/>
    <dgm:cxn modelId="{B27724E6-194A-4177-9C6C-DF96578FBAFB}" type="presParOf" srcId="{9F8906D4-6CA8-4CFE-8659-2176BFF9DA99}" destId="{A06BBD84-2BD5-47AA-8DA4-D5BC89D40EDF}" srcOrd="0" destOrd="0" presId="urn:microsoft.com/office/officeart/2005/8/layout/hierarchy5"/>
    <dgm:cxn modelId="{18EB5C40-DAE3-40B4-8F13-054BC0252117}" type="presParOf" srcId="{A06BBD84-2BD5-47AA-8DA4-D5BC89D40EDF}" destId="{F7AE66CF-0141-4361-B2F7-A54E1BF11A19}" srcOrd="0" destOrd="0" presId="urn:microsoft.com/office/officeart/2005/8/layout/hierarchy5"/>
    <dgm:cxn modelId="{0690A473-902E-4D8C-99C5-D00E7CA340CF}" type="presParOf" srcId="{9F8906D4-6CA8-4CFE-8659-2176BFF9DA99}" destId="{0EA11F83-F5E9-4D42-B59B-22B3C875AFC5}" srcOrd="1" destOrd="0" presId="urn:microsoft.com/office/officeart/2005/8/layout/hierarchy5"/>
    <dgm:cxn modelId="{13C766D7-94B8-4B7E-898C-FD642B49FBB0}" type="presParOf" srcId="{0EA11F83-F5E9-4D42-B59B-22B3C875AFC5}" destId="{0C33464E-0F17-4F5A-8088-1173D00C0B52}" srcOrd="0" destOrd="0" presId="urn:microsoft.com/office/officeart/2005/8/layout/hierarchy5"/>
    <dgm:cxn modelId="{3D57DC0E-E6F7-443E-B978-BCE013ED7B2D}" type="presParOf" srcId="{0EA11F83-F5E9-4D42-B59B-22B3C875AFC5}" destId="{2D31B6BB-880B-4335-B6C4-81DC32837DE4}" srcOrd="1" destOrd="0" presId="urn:microsoft.com/office/officeart/2005/8/layout/hierarchy5"/>
    <dgm:cxn modelId="{4FA98F78-9AC6-4760-8CD0-CE72A2F8BD8C}" type="presParOf" srcId="{37F8F4E5-3114-4DA1-B0E4-463D49349A63}" destId="{0BAA4C06-8AAF-473F-A974-B50B33682FA4}" srcOrd="4" destOrd="0" presId="urn:microsoft.com/office/officeart/2005/8/layout/hierarchy5"/>
    <dgm:cxn modelId="{B97331D7-1C32-4E86-9AD9-F57E05F99EBD}" type="presParOf" srcId="{0BAA4C06-8AAF-473F-A974-B50B33682FA4}" destId="{3AC26F9E-FD97-4AFE-AE6D-E28B04645D69}" srcOrd="0" destOrd="0" presId="urn:microsoft.com/office/officeart/2005/8/layout/hierarchy5"/>
    <dgm:cxn modelId="{B77A3901-735D-4BC1-BAB3-AB2A62B77E78}" type="presParOf" srcId="{37F8F4E5-3114-4DA1-B0E4-463D49349A63}" destId="{F725AA7F-9F43-4E1E-AA04-C4916FC34CCE}" srcOrd="5" destOrd="0" presId="urn:microsoft.com/office/officeart/2005/8/layout/hierarchy5"/>
    <dgm:cxn modelId="{182505C0-365E-4090-9363-B06C49B98806}" type="presParOf" srcId="{F725AA7F-9F43-4E1E-AA04-C4916FC34CCE}" destId="{041C507A-4C72-48D6-9D15-7FDB8773A130}" srcOrd="0" destOrd="0" presId="urn:microsoft.com/office/officeart/2005/8/layout/hierarchy5"/>
    <dgm:cxn modelId="{87A0DCEF-C3A9-4A51-B9AE-C1ED458D670B}" type="presParOf" srcId="{F725AA7F-9F43-4E1E-AA04-C4916FC34CCE}" destId="{FCC9CB7E-E89C-4423-B847-4962759A1568}" srcOrd="1" destOrd="0" presId="urn:microsoft.com/office/officeart/2005/8/layout/hierarchy5"/>
    <dgm:cxn modelId="{4538CE0B-1186-4413-A04B-5080C697174A}" type="presParOf" srcId="{FCC9CB7E-E89C-4423-B847-4962759A1568}" destId="{C5937E6E-6D4D-4F4B-AACA-9185CD3A6C28}" srcOrd="0" destOrd="0" presId="urn:microsoft.com/office/officeart/2005/8/layout/hierarchy5"/>
    <dgm:cxn modelId="{1867BE41-6447-4939-98E3-D8D8B2EA5BB5}" type="presParOf" srcId="{C5937E6E-6D4D-4F4B-AACA-9185CD3A6C28}" destId="{5B9077EF-F14D-4D7E-B9A5-1E690B16F6BA}" srcOrd="0" destOrd="0" presId="urn:microsoft.com/office/officeart/2005/8/layout/hierarchy5"/>
    <dgm:cxn modelId="{C8B98607-9192-4CA7-9E58-CDF959E3B6A6}" type="presParOf" srcId="{FCC9CB7E-E89C-4423-B847-4962759A1568}" destId="{5EF1EBD5-5E5C-48B0-A4ED-A108A62A84CA}" srcOrd="1" destOrd="0" presId="urn:microsoft.com/office/officeart/2005/8/layout/hierarchy5"/>
    <dgm:cxn modelId="{1C62BE74-5808-4117-8F58-93F8DD8CC281}" type="presParOf" srcId="{5EF1EBD5-5E5C-48B0-A4ED-A108A62A84CA}" destId="{38943DD7-311D-4570-B066-E6FD3E6468C4}" srcOrd="0" destOrd="0" presId="urn:microsoft.com/office/officeart/2005/8/layout/hierarchy5"/>
    <dgm:cxn modelId="{B02F3ED4-8FDB-48CA-88BD-12C9D8E2F41B}" type="presParOf" srcId="{5EF1EBD5-5E5C-48B0-A4ED-A108A62A84CA}" destId="{A505DE1D-9BDD-4901-A9A2-D8880A4FC813}" srcOrd="1" destOrd="0" presId="urn:microsoft.com/office/officeart/2005/8/layout/hierarchy5"/>
    <dgm:cxn modelId="{5744C4F8-489E-4AEB-AD0A-E185106C0E5C}" type="presParOf" srcId="{37F8F4E5-3114-4DA1-B0E4-463D49349A63}" destId="{A6690199-C997-4781-9273-E814457E641D}" srcOrd="6" destOrd="0" presId="urn:microsoft.com/office/officeart/2005/8/layout/hierarchy5"/>
    <dgm:cxn modelId="{88D8558E-04CF-485D-9264-CF8037C25693}" type="presParOf" srcId="{A6690199-C997-4781-9273-E814457E641D}" destId="{3DAF66C8-B94A-4F3C-AE2E-CE67EDE41599}" srcOrd="0" destOrd="0" presId="urn:microsoft.com/office/officeart/2005/8/layout/hierarchy5"/>
    <dgm:cxn modelId="{158D079E-B568-4517-AFD9-DED7494ED6A3}" type="presParOf" srcId="{37F8F4E5-3114-4DA1-B0E4-463D49349A63}" destId="{62F0A60D-37C2-404B-AA62-ACE80B914EDC}" srcOrd="7" destOrd="0" presId="urn:microsoft.com/office/officeart/2005/8/layout/hierarchy5"/>
    <dgm:cxn modelId="{24196E31-7A79-4827-B627-1E1A5E1AF4AC}" type="presParOf" srcId="{62F0A60D-37C2-404B-AA62-ACE80B914EDC}" destId="{31D8E891-C037-4299-B2DA-2E293F5FC0E2}" srcOrd="0" destOrd="0" presId="urn:microsoft.com/office/officeart/2005/8/layout/hierarchy5"/>
    <dgm:cxn modelId="{D871FA5C-BB25-40D4-A2AD-794FA79F0DFE}" type="presParOf" srcId="{62F0A60D-37C2-404B-AA62-ACE80B914EDC}" destId="{56B7E223-B464-46BB-8DFD-BFF4FA837CA4}" srcOrd="1" destOrd="0" presId="urn:microsoft.com/office/officeart/2005/8/layout/hierarchy5"/>
    <dgm:cxn modelId="{C59B6D1A-8563-4BC5-8100-91EE355441C3}" type="presParOf" srcId="{56B7E223-B464-46BB-8DFD-BFF4FA837CA4}" destId="{B55A7E13-D8E9-422F-BE3B-6B4D5C58AD32}" srcOrd="0" destOrd="0" presId="urn:microsoft.com/office/officeart/2005/8/layout/hierarchy5"/>
    <dgm:cxn modelId="{66BF8BBD-BAF0-4716-9E84-171CF1F4CB35}" type="presParOf" srcId="{B55A7E13-D8E9-422F-BE3B-6B4D5C58AD32}" destId="{CDBE894C-751D-418A-AEC4-C7A4E09F01CF}" srcOrd="0" destOrd="0" presId="urn:microsoft.com/office/officeart/2005/8/layout/hierarchy5"/>
    <dgm:cxn modelId="{040BDA4E-DCB5-4815-BB19-DFC4845783E2}" type="presParOf" srcId="{56B7E223-B464-46BB-8DFD-BFF4FA837CA4}" destId="{B839C56C-83B9-4BF8-B65A-6E2A165AB195}" srcOrd="1" destOrd="0" presId="urn:microsoft.com/office/officeart/2005/8/layout/hierarchy5"/>
    <dgm:cxn modelId="{65C37F62-77C0-4EC0-B766-AC4630F9CD18}" type="presParOf" srcId="{B839C56C-83B9-4BF8-B65A-6E2A165AB195}" destId="{B9506D3D-1639-4409-900B-045125EA75F8}" srcOrd="0" destOrd="0" presId="urn:microsoft.com/office/officeart/2005/8/layout/hierarchy5"/>
    <dgm:cxn modelId="{F8E3AF66-F244-4A2B-B64F-DEE556DD72E0}" type="presParOf" srcId="{B839C56C-83B9-4BF8-B65A-6E2A165AB195}" destId="{C493B6A6-E7D7-4EA5-8FAE-6C1E5391609A}" srcOrd="1" destOrd="0" presId="urn:microsoft.com/office/officeart/2005/8/layout/hierarchy5"/>
    <dgm:cxn modelId="{491CDDDE-EDA3-414A-92B3-4FD0700C4525}" type="presParOf" srcId="{E20B93F4-5DC8-4440-9DCD-F5DA134D5BA9}" destId="{386F6729-ADEB-4690-AC51-AE758497DB09}" srcOrd="1" destOrd="0" presId="urn:microsoft.com/office/officeart/2005/8/layout/hierarchy5"/>
    <dgm:cxn modelId="{FE937FC0-3880-40CE-99FE-402E92B0CBB4}" type="presParOf" srcId="{386F6729-ADEB-4690-AC51-AE758497DB09}" destId="{633D16DB-D4EE-43F5-AED4-0E56CF70EAC0}" srcOrd="0" destOrd="0" presId="urn:microsoft.com/office/officeart/2005/8/layout/hierarchy5"/>
    <dgm:cxn modelId="{BB2E5435-E987-4189-BAB7-73846D5374A4}" type="presParOf" srcId="{633D16DB-D4EE-43F5-AED4-0E56CF70EAC0}" destId="{5853739F-5B39-4B0A-B6A0-0E8C08F96D01}" srcOrd="0" destOrd="0" presId="urn:microsoft.com/office/officeart/2005/8/layout/hierarchy5"/>
    <dgm:cxn modelId="{8054EFC5-A58C-4C3F-9AA5-BAF8D09F5E18}" type="presParOf" srcId="{633D16DB-D4EE-43F5-AED4-0E56CF70EAC0}" destId="{E098E4AA-798C-4C41-9724-12DCB176311B}" srcOrd="1" destOrd="0" presId="urn:microsoft.com/office/officeart/2005/8/layout/hierarchy5"/>
    <dgm:cxn modelId="{3AB084AF-9A98-4486-9FA4-476118C51DC9}" type="presParOf" srcId="{386F6729-ADEB-4690-AC51-AE758497DB09}" destId="{F4593E0F-8C4F-4011-B6AA-FBF3B1F78C78}" srcOrd="1" destOrd="0" presId="urn:microsoft.com/office/officeart/2005/8/layout/hierarchy5"/>
    <dgm:cxn modelId="{8C3EABE2-D264-4CF1-8096-50F90D299B92}" type="presParOf" srcId="{F4593E0F-8C4F-4011-B6AA-FBF3B1F78C78}" destId="{55242B1B-0F60-4F80-A6AC-7CB877434038}" srcOrd="0" destOrd="0" presId="urn:microsoft.com/office/officeart/2005/8/layout/hierarchy5"/>
    <dgm:cxn modelId="{33B97EEA-37CB-48F5-AD27-36FDDC4351CC}" type="presParOf" srcId="{386F6729-ADEB-4690-AC51-AE758497DB09}" destId="{576F2537-F525-4E23-9C16-D00E87C84F8C}" srcOrd="2" destOrd="0" presId="urn:microsoft.com/office/officeart/2005/8/layout/hierarchy5"/>
    <dgm:cxn modelId="{356922E7-0586-4326-A69F-CBFBC0A5B725}" type="presParOf" srcId="{576F2537-F525-4E23-9C16-D00E87C84F8C}" destId="{59732403-0095-49FE-B6B7-6A64B101C583}" srcOrd="0" destOrd="0" presId="urn:microsoft.com/office/officeart/2005/8/layout/hierarchy5"/>
    <dgm:cxn modelId="{7FC03645-733A-4C9D-B545-85FADB306D99}" type="presParOf" srcId="{576F2537-F525-4E23-9C16-D00E87C84F8C}" destId="{351ED100-6A09-4742-A835-B7064684BABF}" srcOrd="1" destOrd="0" presId="urn:microsoft.com/office/officeart/2005/8/layout/hierarchy5"/>
    <dgm:cxn modelId="{9E048869-7AF4-4730-8B36-D2F3BAB964B7}" type="presParOf" srcId="{386F6729-ADEB-4690-AC51-AE758497DB09}" destId="{FEC2BD11-95EC-48ED-91BE-3A1F2A2D5609}" srcOrd="3" destOrd="0" presId="urn:microsoft.com/office/officeart/2005/8/layout/hierarchy5"/>
    <dgm:cxn modelId="{0522B161-B4FD-4CDC-B041-E53D33C3C665}" type="presParOf" srcId="{FEC2BD11-95EC-48ED-91BE-3A1F2A2D5609}" destId="{EEC56BEA-9E68-409C-9434-C6D1DDD92303}" srcOrd="0" destOrd="0" presId="urn:microsoft.com/office/officeart/2005/8/layout/hierarchy5"/>
    <dgm:cxn modelId="{15C66A75-69E2-4B1D-A385-F69C3CEDEF31}" type="presParOf" srcId="{386F6729-ADEB-4690-AC51-AE758497DB09}" destId="{202A1709-0526-42F9-B572-F515CC2221C2}" srcOrd="4" destOrd="0" presId="urn:microsoft.com/office/officeart/2005/8/layout/hierarchy5"/>
    <dgm:cxn modelId="{5450CDC8-768C-443D-A9C5-8D728145B7DB}" type="presParOf" srcId="{202A1709-0526-42F9-B572-F515CC2221C2}" destId="{F1D1DD74-2EED-4D63-8C11-5D2AA97DD035}" srcOrd="0" destOrd="0" presId="urn:microsoft.com/office/officeart/2005/8/layout/hierarchy5"/>
    <dgm:cxn modelId="{CB344862-0753-49BC-91DA-20D5EFA587F7}" type="presParOf" srcId="{202A1709-0526-42F9-B572-F515CC2221C2}" destId="{D545C72D-A9EB-475C-BDCD-C897EED5E08C}" srcOrd="1" destOrd="0" presId="urn:microsoft.com/office/officeart/2005/8/layout/hierarchy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3F96B515-9DA1-49E8-8ED0-1521B79D373C}" type="doc">
      <dgm:prSet loTypeId="urn:microsoft.com/office/officeart/2005/8/layout/hierarchy5" loCatId="hierarchy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BFFCEE8-C1EF-4ED6-BC76-DCE6A0700A75}">
      <dgm:prSet phldrT="[Text]"/>
      <dgm:spPr/>
      <dgm:t>
        <a:bodyPr/>
        <a:lstStyle/>
        <a:p>
          <a:r>
            <a:rPr lang="ar-JO" b="1">
              <a:solidFill>
                <a:sysClr val="windowText" lastClr="000000"/>
              </a:solidFill>
            </a:rPr>
            <a:t>هوية</a:t>
          </a:r>
          <a:endParaRPr lang="en-US" b="1">
            <a:solidFill>
              <a:sysClr val="windowText" lastClr="000000"/>
            </a:solidFill>
          </a:endParaRPr>
        </a:p>
      </dgm:t>
    </dgm:pt>
    <dgm:pt modelId="{31E17A16-7D11-404B-98F0-AE2F92DEE14B}" type="parTrans" cxnId="{904E2842-42ED-44ED-859C-384F7DFCBC26}">
      <dgm:prSet/>
      <dgm:spPr/>
      <dgm:t>
        <a:bodyPr/>
        <a:lstStyle/>
        <a:p>
          <a:endParaRPr lang="en-US"/>
        </a:p>
      </dgm:t>
    </dgm:pt>
    <dgm:pt modelId="{1C5C2AA8-E096-4FDB-9D64-8A240D13E81E}" type="sibTrans" cxnId="{904E2842-42ED-44ED-859C-384F7DFCBC26}">
      <dgm:prSet/>
      <dgm:spPr/>
      <dgm:t>
        <a:bodyPr/>
        <a:lstStyle/>
        <a:p>
          <a:endParaRPr lang="en-US"/>
        </a:p>
      </dgm:t>
    </dgm:pt>
    <dgm:pt modelId="{291C0361-0081-4CBF-BCCD-A61163884D99}">
      <dgm:prSet phldrT="[Text]"/>
      <dgm:spPr>
        <a:solidFill>
          <a:srgbClr val="EE0000"/>
        </a:solidFill>
      </dgm:spPr>
      <dgm:t>
        <a:bodyPr/>
        <a:lstStyle/>
        <a:p>
          <a:r>
            <a:rPr lang="ar-JO" b="1"/>
            <a:t>المتخصصة</a:t>
          </a:r>
          <a:endParaRPr lang="en-US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4D46D60-D77B-4A45-BC91-56F557F140CE}" type="parTrans" cxnId="{9762429D-64D8-4D31-91F9-681031DA5451}">
      <dgm:prSet/>
      <dgm:spPr/>
      <dgm:t>
        <a:bodyPr/>
        <a:lstStyle/>
        <a:p>
          <a:endParaRPr lang="en-US"/>
        </a:p>
      </dgm:t>
    </dgm:pt>
    <dgm:pt modelId="{8ECFE82A-14E2-4137-AB93-F93D9A7B164A}" type="sibTrans" cxnId="{9762429D-64D8-4D31-91F9-681031DA5451}">
      <dgm:prSet/>
      <dgm:spPr/>
      <dgm:t>
        <a:bodyPr/>
        <a:lstStyle/>
        <a:p>
          <a:endParaRPr lang="en-US"/>
        </a:p>
      </dgm:t>
    </dgm:pt>
    <dgm:pt modelId="{879A99C7-AAF8-440A-8142-D951BE729E65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85%</a:t>
          </a:r>
        </a:p>
        <a:p>
          <a:r>
            <a:rPr lang="ar-JO"/>
            <a:t>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C8BF8F24-6DBA-4109-93C9-BCB245F13F4E}" type="parTrans" cxnId="{ADAD0D83-CA8C-4370-9279-30490C487E0B}">
      <dgm:prSet/>
      <dgm:spPr/>
      <dgm:t>
        <a:bodyPr/>
        <a:lstStyle/>
        <a:p>
          <a:endParaRPr lang="en-US"/>
        </a:p>
      </dgm:t>
    </dgm:pt>
    <dgm:pt modelId="{D82D63D3-00E8-45FF-839D-9CE8A76F79AA}" type="sibTrans" cxnId="{ADAD0D83-CA8C-4370-9279-30490C487E0B}">
      <dgm:prSet/>
      <dgm:spPr/>
      <dgm:t>
        <a:bodyPr/>
        <a:lstStyle/>
        <a:p>
          <a:endParaRPr lang="en-US"/>
        </a:p>
      </dgm:t>
    </dgm:pt>
    <dgm:pt modelId="{7ADA4105-9B3A-43A2-AEBC-7B54E5634C57}">
      <dgm:prSet phldrT="[Text]"/>
      <dgm:spPr/>
      <dgm:t>
        <a:bodyPr/>
        <a:lstStyle/>
        <a:p>
          <a:r>
            <a:rPr lang="ar-JO" b="1"/>
            <a:t>بندار</a:t>
          </a:r>
          <a:endParaRPr lang="en-US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AF765479-F67A-42C2-9401-0FF05EC09ED4}" type="parTrans" cxnId="{36E54544-06F4-4E09-8819-8A9A60EA1214}">
      <dgm:prSet/>
      <dgm:spPr/>
      <dgm:t>
        <a:bodyPr/>
        <a:lstStyle/>
        <a:p>
          <a:endParaRPr lang="en-US"/>
        </a:p>
      </dgm:t>
    </dgm:pt>
    <dgm:pt modelId="{69D0C0CD-A492-4C46-BA5D-101F110F9A1A}" type="sibTrans" cxnId="{36E54544-06F4-4E09-8819-8A9A60EA1214}">
      <dgm:prSet/>
      <dgm:spPr/>
      <dgm:t>
        <a:bodyPr/>
        <a:lstStyle/>
        <a:p>
          <a:endParaRPr lang="en-US"/>
        </a:p>
      </dgm:t>
    </dgm:pt>
    <dgm:pt modelId="{DA0F9E65-CCD3-42FD-A490-60F6B86EC4B9}">
      <dgm:prSet phldrT="[Text]"/>
      <dgm:spPr/>
      <dgm:t>
        <a:bodyPr/>
        <a:lstStyle/>
        <a:p>
          <a:r>
            <a:rPr lang="ar-JO"/>
            <a:t>المستعمل 85%</a:t>
          </a:r>
        </a:p>
        <a:p>
          <a:r>
            <a:rPr lang="ar-JO"/>
            <a:t>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97EAEF7-3B50-4A91-99A4-CA0F55F21673}" type="parTrans" cxnId="{379CF0A9-4143-4697-92BE-DEA22F938743}">
      <dgm:prSet/>
      <dgm:spPr/>
      <dgm:t>
        <a:bodyPr/>
        <a:lstStyle/>
        <a:p>
          <a:endParaRPr lang="en-US"/>
        </a:p>
      </dgm:t>
    </dgm:pt>
    <dgm:pt modelId="{65D0D0C7-524F-4DE1-A52B-6BDA9D2EB070}" type="sibTrans" cxnId="{379CF0A9-4143-4697-92BE-DEA22F938743}">
      <dgm:prSet/>
      <dgm:spPr/>
      <dgm:t>
        <a:bodyPr/>
        <a:lstStyle/>
        <a:p>
          <a:endParaRPr lang="en-US"/>
        </a:p>
      </dgm:t>
    </dgm:pt>
    <dgm:pt modelId="{867861A5-117E-48F6-B773-3AC04E2563A8}">
      <dgm:prSet phldrT="[Text]"/>
      <dgm:spPr/>
      <dgm:t>
        <a:bodyPr/>
        <a:lstStyle/>
        <a:p>
          <a:r>
            <a:rPr lang="ar-JO"/>
            <a:t>الحالة</a:t>
          </a:r>
          <a:endParaRPr lang="en-US"/>
        </a:p>
      </dgm:t>
    </dgm:pt>
    <dgm:pt modelId="{B3A34449-2601-4226-BC81-5D8827F65215}" type="parTrans" cxnId="{2977D996-DC7D-4341-8BB4-C26E91A243D5}">
      <dgm:prSet/>
      <dgm:spPr/>
      <dgm:t>
        <a:bodyPr/>
        <a:lstStyle/>
        <a:p>
          <a:endParaRPr lang="en-US"/>
        </a:p>
      </dgm:t>
    </dgm:pt>
    <dgm:pt modelId="{65E29C65-7114-4229-895D-FFD4E16162EF}" type="sibTrans" cxnId="{2977D996-DC7D-4341-8BB4-C26E91A243D5}">
      <dgm:prSet/>
      <dgm:spPr/>
      <dgm:t>
        <a:bodyPr/>
        <a:lstStyle/>
        <a:p>
          <a:endParaRPr lang="en-US"/>
        </a:p>
      </dgm:t>
    </dgm:pt>
    <dgm:pt modelId="{EB6FDAAE-DA2C-47B4-8DEB-7B2372792781}">
      <dgm:prSet phldrT="[Text]"/>
      <dgm:spPr/>
      <dgm:t>
        <a:bodyPr/>
        <a:lstStyle/>
        <a:p>
          <a:r>
            <a:rPr lang="ar-JO"/>
            <a:t>شركة التمويل</a:t>
          </a:r>
          <a:endParaRPr lang="en-US"/>
        </a:p>
      </dgm:t>
    </dgm:pt>
    <dgm:pt modelId="{CF1043E6-6B0A-4DB2-B3D5-6F102CE5696E}" type="parTrans" cxnId="{B7264BBC-3343-4C53-9554-C78F5C44FD0A}">
      <dgm:prSet/>
      <dgm:spPr/>
      <dgm:t>
        <a:bodyPr/>
        <a:lstStyle/>
        <a:p>
          <a:endParaRPr lang="en-US"/>
        </a:p>
      </dgm:t>
    </dgm:pt>
    <dgm:pt modelId="{1E01B6BB-BD18-45E6-887E-EBC776999C96}" type="sibTrans" cxnId="{B7264BBC-3343-4C53-9554-C78F5C44FD0A}">
      <dgm:prSet/>
      <dgm:spPr/>
      <dgm:t>
        <a:bodyPr/>
        <a:lstStyle/>
        <a:p>
          <a:endParaRPr lang="en-US"/>
        </a:p>
      </dgm:t>
    </dgm:pt>
    <dgm:pt modelId="{C31BC0AE-2541-450E-BE44-2618035CF8D4}">
      <dgm:prSet phldrT="[Text]"/>
      <dgm:spPr/>
      <dgm:t>
        <a:bodyPr/>
        <a:lstStyle/>
        <a:p>
          <a:r>
            <a:rPr lang="ar-JO"/>
            <a:t>قيمة التمويل</a:t>
          </a:r>
          <a:endParaRPr lang="en-US"/>
        </a:p>
      </dgm:t>
    </dgm:pt>
    <dgm:pt modelId="{D24D9539-971F-407C-84A3-ECF4A19BD77A}" type="parTrans" cxnId="{A040E479-5462-4856-B78B-D13B410E7B82}">
      <dgm:prSet/>
      <dgm:spPr/>
      <dgm:t>
        <a:bodyPr/>
        <a:lstStyle/>
        <a:p>
          <a:endParaRPr lang="en-US"/>
        </a:p>
      </dgm:t>
    </dgm:pt>
    <dgm:pt modelId="{E3A8B069-EE3A-45F8-8696-39433EB77321}" type="sibTrans" cxnId="{A040E479-5462-4856-B78B-D13B410E7B82}">
      <dgm:prSet/>
      <dgm:spPr/>
      <dgm:t>
        <a:bodyPr/>
        <a:lstStyle/>
        <a:p>
          <a:endParaRPr lang="en-US"/>
        </a:p>
      </dgm:t>
    </dgm:pt>
    <dgm:pt modelId="{E20B93F4-5DC8-4440-9DCD-F5DA134D5BA9}" type="pres">
      <dgm:prSet presAssocID="{3F96B515-9DA1-49E8-8ED0-1521B79D373C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A396D6BB-573C-4276-849B-DF5FCEBF4467}" type="pres">
      <dgm:prSet presAssocID="{3F96B515-9DA1-49E8-8ED0-1521B79D373C}" presName="hierFlow" presStyleCnt="0"/>
      <dgm:spPr/>
    </dgm:pt>
    <dgm:pt modelId="{013F9FCF-57B5-4ABA-A64E-0B27FBA7F702}" type="pres">
      <dgm:prSet presAssocID="{3F96B515-9DA1-49E8-8ED0-1521B79D373C}" presName="firstBuf" presStyleCnt="0"/>
      <dgm:spPr/>
    </dgm:pt>
    <dgm:pt modelId="{65165A0D-F288-4C97-AF71-32DA8F40E59E}" type="pres">
      <dgm:prSet presAssocID="{3F96B515-9DA1-49E8-8ED0-1521B79D373C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D122D0BC-3491-44C3-80AE-272C507C8D2B}" type="pres">
      <dgm:prSet presAssocID="{2BFFCEE8-C1EF-4ED6-BC76-DCE6A0700A75}" presName="Name17" presStyleCnt="0"/>
      <dgm:spPr/>
    </dgm:pt>
    <dgm:pt modelId="{7DA6821B-9231-44F2-B2E7-CD8100055D4C}" type="pres">
      <dgm:prSet presAssocID="{2BFFCEE8-C1EF-4ED6-BC76-DCE6A0700A75}" presName="level1Shape" presStyleLbl="node0" presStyleIdx="0" presStyleCnt="1">
        <dgm:presLayoutVars>
          <dgm:chPref val="3"/>
        </dgm:presLayoutVars>
      </dgm:prSet>
      <dgm:spPr/>
    </dgm:pt>
    <dgm:pt modelId="{37F8F4E5-3114-4DA1-B0E4-463D49349A63}" type="pres">
      <dgm:prSet presAssocID="{2BFFCEE8-C1EF-4ED6-BC76-DCE6A0700A75}" presName="hierChild2" presStyleCnt="0"/>
      <dgm:spPr/>
    </dgm:pt>
    <dgm:pt modelId="{D25DF05C-67FB-4983-A01B-C35F1734F8BA}" type="pres">
      <dgm:prSet presAssocID="{D4D46D60-D77B-4A45-BC91-56F557F140CE}" presName="Name25" presStyleLbl="parChTrans1D2" presStyleIdx="0" presStyleCnt="2"/>
      <dgm:spPr/>
    </dgm:pt>
    <dgm:pt modelId="{9206469B-A230-420E-A183-CFE95936140C}" type="pres">
      <dgm:prSet presAssocID="{D4D46D60-D77B-4A45-BC91-56F557F140CE}" presName="connTx" presStyleLbl="parChTrans1D2" presStyleIdx="0" presStyleCnt="2"/>
      <dgm:spPr/>
    </dgm:pt>
    <dgm:pt modelId="{5AA83151-E82B-4641-A759-33F507296828}" type="pres">
      <dgm:prSet presAssocID="{291C0361-0081-4CBF-BCCD-A61163884D99}" presName="Name30" presStyleCnt="0"/>
      <dgm:spPr/>
    </dgm:pt>
    <dgm:pt modelId="{22DE6E38-6284-4F96-8CA4-34BF4DA76247}" type="pres">
      <dgm:prSet presAssocID="{291C0361-0081-4CBF-BCCD-A61163884D99}" presName="level2Shape" presStyleLbl="node2" presStyleIdx="0" presStyleCnt="2"/>
      <dgm:spPr/>
    </dgm:pt>
    <dgm:pt modelId="{3DBDF957-7459-49E9-8CAA-744ADE169EBF}" type="pres">
      <dgm:prSet presAssocID="{291C0361-0081-4CBF-BCCD-A61163884D99}" presName="hierChild3" presStyleCnt="0"/>
      <dgm:spPr/>
    </dgm:pt>
    <dgm:pt modelId="{9F5D0CC9-33A5-4393-9516-87FB01DEDC55}" type="pres">
      <dgm:prSet presAssocID="{C8BF8F24-6DBA-4109-93C9-BCB245F13F4E}" presName="Name25" presStyleLbl="parChTrans1D3" presStyleIdx="0" presStyleCnt="2"/>
      <dgm:spPr/>
    </dgm:pt>
    <dgm:pt modelId="{1B772F9B-4553-4D9B-8D9E-43624ACE2CD2}" type="pres">
      <dgm:prSet presAssocID="{C8BF8F24-6DBA-4109-93C9-BCB245F13F4E}" presName="connTx" presStyleLbl="parChTrans1D3" presStyleIdx="0" presStyleCnt="2"/>
      <dgm:spPr/>
    </dgm:pt>
    <dgm:pt modelId="{7DFEB7BA-0E6F-4E19-AE2F-758222062860}" type="pres">
      <dgm:prSet presAssocID="{879A99C7-AAF8-440A-8142-D951BE729E65}" presName="Name30" presStyleCnt="0"/>
      <dgm:spPr/>
    </dgm:pt>
    <dgm:pt modelId="{EF6B63FC-5100-44CA-811F-55A3C426BF82}" type="pres">
      <dgm:prSet presAssocID="{879A99C7-AAF8-440A-8142-D951BE729E65}" presName="level2Shape" presStyleLbl="node3" presStyleIdx="0" presStyleCnt="2"/>
      <dgm:spPr/>
    </dgm:pt>
    <dgm:pt modelId="{5B00A7CB-7F7D-4F8A-990D-A425A6FC4296}" type="pres">
      <dgm:prSet presAssocID="{879A99C7-AAF8-440A-8142-D951BE729E65}" presName="hierChild3" presStyleCnt="0"/>
      <dgm:spPr/>
    </dgm:pt>
    <dgm:pt modelId="{DC28C3CC-328C-48DD-B9BE-20BBC3E6738F}" type="pres">
      <dgm:prSet presAssocID="{AF765479-F67A-42C2-9401-0FF05EC09ED4}" presName="Name25" presStyleLbl="parChTrans1D2" presStyleIdx="1" presStyleCnt="2"/>
      <dgm:spPr/>
    </dgm:pt>
    <dgm:pt modelId="{2571B053-4443-4C32-B1B7-789E7C36B0AB}" type="pres">
      <dgm:prSet presAssocID="{AF765479-F67A-42C2-9401-0FF05EC09ED4}" presName="connTx" presStyleLbl="parChTrans1D2" presStyleIdx="1" presStyleCnt="2"/>
      <dgm:spPr/>
    </dgm:pt>
    <dgm:pt modelId="{2552CDFC-76A7-4A22-8F57-510FABA4B426}" type="pres">
      <dgm:prSet presAssocID="{7ADA4105-9B3A-43A2-AEBC-7B54E5634C57}" presName="Name30" presStyleCnt="0"/>
      <dgm:spPr/>
    </dgm:pt>
    <dgm:pt modelId="{E51F5A81-087F-4429-AF6F-2083F03AFA05}" type="pres">
      <dgm:prSet presAssocID="{7ADA4105-9B3A-43A2-AEBC-7B54E5634C57}" presName="level2Shape" presStyleLbl="node2" presStyleIdx="1" presStyleCnt="2"/>
      <dgm:spPr/>
    </dgm:pt>
    <dgm:pt modelId="{9F8906D4-6CA8-4CFE-8659-2176BFF9DA99}" type="pres">
      <dgm:prSet presAssocID="{7ADA4105-9B3A-43A2-AEBC-7B54E5634C57}" presName="hierChild3" presStyleCnt="0"/>
      <dgm:spPr/>
    </dgm:pt>
    <dgm:pt modelId="{B55A7E13-D8E9-422F-BE3B-6B4D5C58AD32}" type="pres">
      <dgm:prSet presAssocID="{D97EAEF7-3B50-4A91-99A4-CA0F55F21673}" presName="Name25" presStyleLbl="parChTrans1D3" presStyleIdx="1" presStyleCnt="2"/>
      <dgm:spPr/>
    </dgm:pt>
    <dgm:pt modelId="{CDBE894C-751D-418A-AEC4-C7A4E09F01CF}" type="pres">
      <dgm:prSet presAssocID="{D97EAEF7-3B50-4A91-99A4-CA0F55F21673}" presName="connTx" presStyleLbl="parChTrans1D3" presStyleIdx="1" presStyleCnt="2"/>
      <dgm:spPr/>
    </dgm:pt>
    <dgm:pt modelId="{B839C56C-83B9-4BF8-B65A-6E2A165AB195}" type="pres">
      <dgm:prSet presAssocID="{DA0F9E65-CCD3-42FD-A490-60F6B86EC4B9}" presName="Name30" presStyleCnt="0"/>
      <dgm:spPr/>
    </dgm:pt>
    <dgm:pt modelId="{B9506D3D-1639-4409-900B-045125EA75F8}" type="pres">
      <dgm:prSet presAssocID="{DA0F9E65-CCD3-42FD-A490-60F6B86EC4B9}" presName="level2Shape" presStyleLbl="node3" presStyleIdx="1" presStyleCnt="2"/>
      <dgm:spPr/>
    </dgm:pt>
    <dgm:pt modelId="{C493B6A6-E7D7-4EA5-8FAE-6C1E5391609A}" type="pres">
      <dgm:prSet presAssocID="{DA0F9E65-CCD3-42FD-A490-60F6B86EC4B9}" presName="hierChild3" presStyleCnt="0"/>
      <dgm:spPr/>
    </dgm:pt>
    <dgm:pt modelId="{386F6729-ADEB-4690-AC51-AE758497DB09}" type="pres">
      <dgm:prSet presAssocID="{3F96B515-9DA1-49E8-8ED0-1521B79D373C}" presName="bgShapesFlow" presStyleCnt="0"/>
      <dgm:spPr/>
    </dgm:pt>
    <dgm:pt modelId="{633D16DB-D4EE-43F5-AED4-0E56CF70EAC0}" type="pres">
      <dgm:prSet presAssocID="{867861A5-117E-48F6-B773-3AC04E2563A8}" presName="rectComp" presStyleCnt="0"/>
      <dgm:spPr/>
    </dgm:pt>
    <dgm:pt modelId="{5853739F-5B39-4B0A-B6A0-0E8C08F96D01}" type="pres">
      <dgm:prSet presAssocID="{867861A5-117E-48F6-B773-3AC04E2563A8}" presName="bgRect" presStyleLbl="bgShp" presStyleIdx="0" presStyleCnt="3" custLinFactNeighborX="-54453" custLinFactNeighborY="-2381"/>
      <dgm:spPr/>
    </dgm:pt>
    <dgm:pt modelId="{E098E4AA-798C-4C41-9724-12DCB176311B}" type="pres">
      <dgm:prSet presAssocID="{867861A5-117E-48F6-B773-3AC04E2563A8}" presName="bgRectTx" presStyleLbl="bgShp" presStyleIdx="0" presStyleCnt="3">
        <dgm:presLayoutVars>
          <dgm:bulletEnabled val="1"/>
        </dgm:presLayoutVars>
      </dgm:prSet>
      <dgm:spPr/>
    </dgm:pt>
    <dgm:pt modelId="{F4593E0F-8C4F-4011-B6AA-FBF3B1F78C78}" type="pres">
      <dgm:prSet presAssocID="{867861A5-117E-48F6-B773-3AC04E2563A8}" presName="spComp" presStyleCnt="0"/>
      <dgm:spPr/>
    </dgm:pt>
    <dgm:pt modelId="{55242B1B-0F60-4F80-A6AC-7CB877434038}" type="pres">
      <dgm:prSet presAssocID="{867861A5-117E-48F6-B773-3AC04E2563A8}" presName="hSp" presStyleCnt="0"/>
      <dgm:spPr/>
    </dgm:pt>
    <dgm:pt modelId="{576F2537-F525-4E23-9C16-D00E87C84F8C}" type="pres">
      <dgm:prSet presAssocID="{EB6FDAAE-DA2C-47B4-8DEB-7B2372792781}" presName="rectComp" presStyleCnt="0"/>
      <dgm:spPr/>
    </dgm:pt>
    <dgm:pt modelId="{59732403-0095-49FE-B6B7-6A64B101C583}" type="pres">
      <dgm:prSet presAssocID="{EB6FDAAE-DA2C-47B4-8DEB-7B2372792781}" presName="bgRect" presStyleLbl="bgShp" presStyleIdx="1" presStyleCnt="3"/>
      <dgm:spPr/>
    </dgm:pt>
    <dgm:pt modelId="{351ED100-6A09-4742-A835-B7064684BABF}" type="pres">
      <dgm:prSet presAssocID="{EB6FDAAE-DA2C-47B4-8DEB-7B2372792781}" presName="bgRectTx" presStyleLbl="bgShp" presStyleIdx="1" presStyleCnt="3">
        <dgm:presLayoutVars>
          <dgm:bulletEnabled val="1"/>
        </dgm:presLayoutVars>
      </dgm:prSet>
      <dgm:spPr/>
    </dgm:pt>
    <dgm:pt modelId="{FEC2BD11-95EC-48ED-91BE-3A1F2A2D5609}" type="pres">
      <dgm:prSet presAssocID="{EB6FDAAE-DA2C-47B4-8DEB-7B2372792781}" presName="spComp" presStyleCnt="0"/>
      <dgm:spPr/>
    </dgm:pt>
    <dgm:pt modelId="{EEC56BEA-9E68-409C-9434-C6D1DDD92303}" type="pres">
      <dgm:prSet presAssocID="{EB6FDAAE-DA2C-47B4-8DEB-7B2372792781}" presName="hSp" presStyleCnt="0"/>
      <dgm:spPr/>
    </dgm:pt>
    <dgm:pt modelId="{202A1709-0526-42F9-B572-F515CC2221C2}" type="pres">
      <dgm:prSet presAssocID="{C31BC0AE-2541-450E-BE44-2618035CF8D4}" presName="rectComp" presStyleCnt="0"/>
      <dgm:spPr/>
    </dgm:pt>
    <dgm:pt modelId="{F1D1DD74-2EED-4D63-8C11-5D2AA97DD035}" type="pres">
      <dgm:prSet presAssocID="{C31BC0AE-2541-450E-BE44-2618035CF8D4}" presName="bgRect" presStyleLbl="bgShp" presStyleIdx="2" presStyleCnt="3"/>
      <dgm:spPr/>
    </dgm:pt>
    <dgm:pt modelId="{D545C72D-A9EB-475C-BDCD-C897EED5E08C}" type="pres">
      <dgm:prSet presAssocID="{C31BC0AE-2541-450E-BE44-2618035CF8D4}" presName="bgRectTx" presStyleLbl="bgShp" presStyleIdx="2" presStyleCnt="3">
        <dgm:presLayoutVars>
          <dgm:bulletEnabled val="1"/>
        </dgm:presLayoutVars>
      </dgm:prSet>
      <dgm:spPr/>
    </dgm:pt>
  </dgm:ptLst>
  <dgm:cxnLst>
    <dgm:cxn modelId="{DD463A0E-90BD-4AFC-A35E-688E798A6FF4}" type="presOf" srcId="{C31BC0AE-2541-450E-BE44-2618035CF8D4}" destId="{F1D1DD74-2EED-4D63-8C11-5D2AA97DD035}" srcOrd="0" destOrd="0" presId="urn:microsoft.com/office/officeart/2005/8/layout/hierarchy5"/>
    <dgm:cxn modelId="{506FFD0E-55CE-442F-B538-C224F655B738}" type="presOf" srcId="{AF765479-F67A-42C2-9401-0FF05EC09ED4}" destId="{DC28C3CC-328C-48DD-B9BE-20BBC3E6738F}" srcOrd="0" destOrd="0" presId="urn:microsoft.com/office/officeart/2005/8/layout/hierarchy5"/>
    <dgm:cxn modelId="{D79AF914-C11D-46A2-9264-AF18B6EDFA02}" type="presOf" srcId="{867861A5-117E-48F6-B773-3AC04E2563A8}" destId="{E098E4AA-798C-4C41-9724-12DCB176311B}" srcOrd="1" destOrd="0" presId="urn:microsoft.com/office/officeart/2005/8/layout/hierarchy5"/>
    <dgm:cxn modelId="{A10A2118-1DAE-40B5-BEAF-68FAAC7387BE}" type="presOf" srcId="{291C0361-0081-4CBF-BCCD-A61163884D99}" destId="{22DE6E38-6284-4F96-8CA4-34BF4DA76247}" srcOrd="0" destOrd="0" presId="urn:microsoft.com/office/officeart/2005/8/layout/hierarchy5"/>
    <dgm:cxn modelId="{AB262820-D28A-426C-8FA2-C08C2D0EB6FC}" type="presOf" srcId="{879A99C7-AAF8-440A-8142-D951BE729E65}" destId="{EF6B63FC-5100-44CA-811F-55A3C426BF82}" srcOrd="0" destOrd="0" presId="urn:microsoft.com/office/officeart/2005/8/layout/hierarchy5"/>
    <dgm:cxn modelId="{3A79E030-F6E2-4B71-AB2B-0C64AED272E1}" type="presOf" srcId="{867861A5-117E-48F6-B773-3AC04E2563A8}" destId="{5853739F-5B39-4B0A-B6A0-0E8C08F96D01}" srcOrd="0" destOrd="0" presId="urn:microsoft.com/office/officeart/2005/8/layout/hierarchy5"/>
    <dgm:cxn modelId="{904E2842-42ED-44ED-859C-384F7DFCBC26}" srcId="{3F96B515-9DA1-49E8-8ED0-1521B79D373C}" destId="{2BFFCEE8-C1EF-4ED6-BC76-DCE6A0700A75}" srcOrd="0" destOrd="0" parTransId="{31E17A16-7D11-404B-98F0-AE2F92DEE14B}" sibTransId="{1C5C2AA8-E096-4FDB-9D64-8A240D13E81E}"/>
    <dgm:cxn modelId="{78767D43-7DDE-482C-8BBA-E365D3196AB8}" type="presOf" srcId="{D4D46D60-D77B-4A45-BC91-56F557F140CE}" destId="{9206469B-A230-420E-A183-CFE95936140C}" srcOrd="1" destOrd="0" presId="urn:microsoft.com/office/officeart/2005/8/layout/hierarchy5"/>
    <dgm:cxn modelId="{36E54544-06F4-4E09-8819-8A9A60EA1214}" srcId="{2BFFCEE8-C1EF-4ED6-BC76-DCE6A0700A75}" destId="{7ADA4105-9B3A-43A2-AEBC-7B54E5634C57}" srcOrd="1" destOrd="0" parTransId="{AF765479-F67A-42C2-9401-0FF05EC09ED4}" sibTransId="{69D0C0CD-A492-4C46-BA5D-101F110F9A1A}"/>
    <dgm:cxn modelId="{9AAC506C-55CD-47E9-8C9F-9134BA012523}" type="presOf" srcId="{DA0F9E65-CCD3-42FD-A490-60F6B86EC4B9}" destId="{B9506D3D-1639-4409-900B-045125EA75F8}" srcOrd="0" destOrd="0" presId="urn:microsoft.com/office/officeart/2005/8/layout/hierarchy5"/>
    <dgm:cxn modelId="{C98CEC4E-0F4B-4A90-AE3A-EFB3E614AAA6}" type="presOf" srcId="{7ADA4105-9B3A-43A2-AEBC-7B54E5634C57}" destId="{E51F5A81-087F-4429-AF6F-2083F03AFA05}" srcOrd="0" destOrd="0" presId="urn:microsoft.com/office/officeart/2005/8/layout/hierarchy5"/>
    <dgm:cxn modelId="{38AD5E70-6E4F-4A10-A43B-830B04A1DF6B}" type="presOf" srcId="{D97EAEF7-3B50-4A91-99A4-CA0F55F21673}" destId="{B55A7E13-D8E9-422F-BE3B-6B4D5C58AD32}" srcOrd="0" destOrd="0" presId="urn:microsoft.com/office/officeart/2005/8/layout/hierarchy5"/>
    <dgm:cxn modelId="{AD257653-79E7-4F27-91F8-88E55B766C21}" type="presOf" srcId="{2BFFCEE8-C1EF-4ED6-BC76-DCE6A0700A75}" destId="{7DA6821B-9231-44F2-B2E7-CD8100055D4C}" srcOrd="0" destOrd="0" presId="urn:microsoft.com/office/officeart/2005/8/layout/hierarchy5"/>
    <dgm:cxn modelId="{AC9FC878-9A73-4D1D-9AAD-3EE3BC686765}" type="presOf" srcId="{AF765479-F67A-42C2-9401-0FF05EC09ED4}" destId="{2571B053-4443-4C32-B1B7-789E7C36B0AB}" srcOrd="1" destOrd="0" presId="urn:microsoft.com/office/officeart/2005/8/layout/hierarchy5"/>
    <dgm:cxn modelId="{A3E14679-590C-4C8F-A3DD-F4586360C9C7}" type="presOf" srcId="{3F96B515-9DA1-49E8-8ED0-1521B79D373C}" destId="{E20B93F4-5DC8-4440-9DCD-F5DA134D5BA9}" srcOrd="0" destOrd="0" presId="urn:microsoft.com/office/officeart/2005/8/layout/hierarchy5"/>
    <dgm:cxn modelId="{A040E479-5462-4856-B78B-D13B410E7B82}" srcId="{3F96B515-9DA1-49E8-8ED0-1521B79D373C}" destId="{C31BC0AE-2541-450E-BE44-2618035CF8D4}" srcOrd="3" destOrd="0" parTransId="{D24D9539-971F-407C-84A3-ECF4A19BD77A}" sibTransId="{E3A8B069-EE3A-45F8-8696-39433EB77321}"/>
    <dgm:cxn modelId="{8674AE7D-7808-4B2C-8981-EE5003F6999B}" type="presOf" srcId="{C8BF8F24-6DBA-4109-93C9-BCB245F13F4E}" destId="{9F5D0CC9-33A5-4393-9516-87FB01DEDC55}" srcOrd="0" destOrd="0" presId="urn:microsoft.com/office/officeart/2005/8/layout/hierarchy5"/>
    <dgm:cxn modelId="{ADAD0D83-CA8C-4370-9279-30490C487E0B}" srcId="{291C0361-0081-4CBF-BCCD-A61163884D99}" destId="{879A99C7-AAF8-440A-8142-D951BE729E65}" srcOrd="0" destOrd="0" parTransId="{C8BF8F24-6DBA-4109-93C9-BCB245F13F4E}" sibTransId="{D82D63D3-00E8-45FF-839D-9CE8A76F79AA}"/>
    <dgm:cxn modelId="{E0999788-056D-40D9-B081-5C68720A8B21}" type="presOf" srcId="{C8BF8F24-6DBA-4109-93C9-BCB245F13F4E}" destId="{1B772F9B-4553-4D9B-8D9E-43624ACE2CD2}" srcOrd="1" destOrd="0" presId="urn:microsoft.com/office/officeart/2005/8/layout/hierarchy5"/>
    <dgm:cxn modelId="{859E948A-2F74-425D-8D5C-506B02355736}" type="presOf" srcId="{C31BC0AE-2541-450E-BE44-2618035CF8D4}" destId="{D545C72D-A9EB-475C-BDCD-C897EED5E08C}" srcOrd="1" destOrd="0" presId="urn:microsoft.com/office/officeart/2005/8/layout/hierarchy5"/>
    <dgm:cxn modelId="{FD64E38C-FD37-48FD-9F44-1219978364DE}" type="presOf" srcId="{EB6FDAAE-DA2C-47B4-8DEB-7B2372792781}" destId="{351ED100-6A09-4742-A835-B7064684BABF}" srcOrd="1" destOrd="0" presId="urn:microsoft.com/office/officeart/2005/8/layout/hierarchy5"/>
    <dgm:cxn modelId="{1BD64593-B28D-4971-84A8-23AED96D7C83}" type="presOf" srcId="{D4D46D60-D77B-4A45-BC91-56F557F140CE}" destId="{D25DF05C-67FB-4983-A01B-C35F1734F8BA}" srcOrd="0" destOrd="0" presId="urn:microsoft.com/office/officeart/2005/8/layout/hierarchy5"/>
    <dgm:cxn modelId="{2977D996-DC7D-4341-8BB4-C26E91A243D5}" srcId="{3F96B515-9DA1-49E8-8ED0-1521B79D373C}" destId="{867861A5-117E-48F6-B773-3AC04E2563A8}" srcOrd="1" destOrd="0" parTransId="{B3A34449-2601-4226-BC81-5D8827F65215}" sibTransId="{65E29C65-7114-4229-895D-FFD4E16162EF}"/>
    <dgm:cxn modelId="{9762429D-64D8-4D31-91F9-681031DA5451}" srcId="{2BFFCEE8-C1EF-4ED6-BC76-DCE6A0700A75}" destId="{291C0361-0081-4CBF-BCCD-A61163884D99}" srcOrd="0" destOrd="0" parTransId="{D4D46D60-D77B-4A45-BC91-56F557F140CE}" sibTransId="{8ECFE82A-14E2-4137-AB93-F93D9A7B164A}"/>
    <dgm:cxn modelId="{2E7BF9A0-CC54-49A8-A002-B77C15F78A1B}" type="presOf" srcId="{D97EAEF7-3B50-4A91-99A4-CA0F55F21673}" destId="{CDBE894C-751D-418A-AEC4-C7A4E09F01CF}" srcOrd="1" destOrd="0" presId="urn:microsoft.com/office/officeart/2005/8/layout/hierarchy5"/>
    <dgm:cxn modelId="{379CF0A9-4143-4697-92BE-DEA22F938743}" srcId="{7ADA4105-9B3A-43A2-AEBC-7B54E5634C57}" destId="{DA0F9E65-CCD3-42FD-A490-60F6B86EC4B9}" srcOrd="0" destOrd="0" parTransId="{D97EAEF7-3B50-4A91-99A4-CA0F55F21673}" sibTransId="{65D0D0C7-524F-4DE1-A52B-6BDA9D2EB070}"/>
    <dgm:cxn modelId="{B7264BBC-3343-4C53-9554-C78F5C44FD0A}" srcId="{3F96B515-9DA1-49E8-8ED0-1521B79D373C}" destId="{EB6FDAAE-DA2C-47B4-8DEB-7B2372792781}" srcOrd="2" destOrd="0" parTransId="{CF1043E6-6B0A-4DB2-B3D5-6F102CE5696E}" sibTransId="{1E01B6BB-BD18-45E6-887E-EBC776999C96}"/>
    <dgm:cxn modelId="{AAAAD4EF-3958-459E-8A93-5D978F208876}" type="presOf" srcId="{EB6FDAAE-DA2C-47B4-8DEB-7B2372792781}" destId="{59732403-0095-49FE-B6B7-6A64B101C583}" srcOrd="0" destOrd="0" presId="urn:microsoft.com/office/officeart/2005/8/layout/hierarchy5"/>
    <dgm:cxn modelId="{2FF1FAD9-E3F8-4B6B-8ACE-5C39660A801E}" type="presParOf" srcId="{E20B93F4-5DC8-4440-9DCD-F5DA134D5BA9}" destId="{A396D6BB-573C-4276-849B-DF5FCEBF4467}" srcOrd="0" destOrd="0" presId="urn:microsoft.com/office/officeart/2005/8/layout/hierarchy5"/>
    <dgm:cxn modelId="{D2CE6869-A1A6-4961-AB6D-C388E29725AF}" type="presParOf" srcId="{A396D6BB-573C-4276-849B-DF5FCEBF4467}" destId="{013F9FCF-57B5-4ABA-A64E-0B27FBA7F702}" srcOrd="0" destOrd="0" presId="urn:microsoft.com/office/officeart/2005/8/layout/hierarchy5"/>
    <dgm:cxn modelId="{3F3F6B85-479B-4D53-A593-8C5AA08A12A3}" type="presParOf" srcId="{A396D6BB-573C-4276-849B-DF5FCEBF4467}" destId="{65165A0D-F288-4C97-AF71-32DA8F40E59E}" srcOrd="1" destOrd="0" presId="urn:microsoft.com/office/officeart/2005/8/layout/hierarchy5"/>
    <dgm:cxn modelId="{FF5AEBD2-A336-4A2A-B90A-46D7F3EF7374}" type="presParOf" srcId="{65165A0D-F288-4C97-AF71-32DA8F40E59E}" destId="{D122D0BC-3491-44C3-80AE-272C507C8D2B}" srcOrd="0" destOrd="0" presId="urn:microsoft.com/office/officeart/2005/8/layout/hierarchy5"/>
    <dgm:cxn modelId="{5E8C8DB1-475B-40A8-87FE-09B038A7B944}" type="presParOf" srcId="{D122D0BC-3491-44C3-80AE-272C507C8D2B}" destId="{7DA6821B-9231-44F2-B2E7-CD8100055D4C}" srcOrd="0" destOrd="0" presId="urn:microsoft.com/office/officeart/2005/8/layout/hierarchy5"/>
    <dgm:cxn modelId="{D39601C9-6F52-4C9D-8926-2BB35AEBE96E}" type="presParOf" srcId="{D122D0BC-3491-44C3-80AE-272C507C8D2B}" destId="{37F8F4E5-3114-4DA1-B0E4-463D49349A63}" srcOrd="1" destOrd="0" presId="urn:microsoft.com/office/officeart/2005/8/layout/hierarchy5"/>
    <dgm:cxn modelId="{BD095E41-76A4-49AE-9781-575DB0BB477A}" type="presParOf" srcId="{37F8F4E5-3114-4DA1-B0E4-463D49349A63}" destId="{D25DF05C-67FB-4983-A01B-C35F1734F8BA}" srcOrd="0" destOrd="0" presId="urn:microsoft.com/office/officeart/2005/8/layout/hierarchy5"/>
    <dgm:cxn modelId="{0B64A263-55CD-446B-B565-09854197E135}" type="presParOf" srcId="{D25DF05C-67FB-4983-A01B-C35F1734F8BA}" destId="{9206469B-A230-420E-A183-CFE95936140C}" srcOrd="0" destOrd="0" presId="urn:microsoft.com/office/officeart/2005/8/layout/hierarchy5"/>
    <dgm:cxn modelId="{6DE1ED33-14D4-4BAF-821F-A8D0F53E7454}" type="presParOf" srcId="{37F8F4E5-3114-4DA1-B0E4-463D49349A63}" destId="{5AA83151-E82B-4641-A759-33F507296828}" srcOrd="1" destOrd="0" presId="urn:microsoft.com/office/officeart/2005/8/layout/hierarchy5"/>
    <dgm:cxn modelId="{9516FCE5-5D1E-47A6-9691-9DF6ACD4D120}" type="presParOf" srcId="{5AA83151-E82B-4641-A759-33F507296828}" destId="{22DE6E38-6284-4F96-8CA4-34BF4DA76247}" srcOrd="0" destOrd="0" presId="urn:microsoft.com/office/officeart/2005/8/layout/hierarchy5"/>
    <dgm:cxn modelId="{2E45436A-5D14-40E3-B25B-CA1B124B71F8}" type="presParOf" srcId="{5AA83151-E82B-4641-A759-33F507296828}" destId="{3DBDF957-7459-49E9-8CAA-744ADE169EBF}" srcOrd="1" destOrd="0" presId="urn:microsoft.com/office/officeart/2005/8/layout/hierarchy5"/>
    <dgm:cxn modelId="{D7AEDF70-0247-42CB-BE8A-E78B1BDFE754}" type="presParOf" srcId="{3DBDF957-7459-49E9-8CAA-744ADE169EBF}" destId="{9F5D0CC9-33A5-4393-9516-87FB01DEDC55}" srcOrd="0" destOrd="0" presId="urn:microsoft.com/office/officeart/2005/8/layout/hierarchy5"/>
    <dgm:cxn modelId="{DC398625-697D-415C-8CBD-F8C653352845}" type="presParOf" srcId="{9F5D0CC9-33A5-4393-9516-87FB01DEDC55}" destId="{1B772F9B-4553-4D9B-8D9E-43624ACE2CD2}" srcOrd="0" destOrd="0" presId="urn:microsoft.com/office/officeart/2005/8/layout/hierarchy5"/>
    <dgm:cxn modelId="{B297F0B6-D982-475C-895C-FFD33AA90FF4}" type="presParOf" srcId="{3DBDF957-7459-49E9-8CAA-744ADE169EBF}" destId="{7DFEB7BA-0E6F-4E19-AE2F-758222062860}" srcOrd="1" destOrd="0" presId="urn:microsoft.com/office/officeart/2005/8/layout/hierarchy5"/>
    <dgm:cxn modelId="{FD911C30-02F4-4DA8-846E-364D20F8F9BD}" type="presParOf" srcId="{7DFEB7BA-0E6F-4E19-AE2F-758222062860}" destId="{EF6B63FC-5100-44CA-811F-55A3C426BF82}" srcOrd="0" destOrd="0" presId="urn:microsoft.com/office/officeart/2005/8/layout/hierarchy5"/>
    <dgm:cxn modelId="{330DE89F-6D99-452E-9EB4-76F93647A646}" type="presParOf" srcId="{7DFEB7BA-0E6F-4E19-AE2F-758222062860}" destId="{5B00A7CB-7F7D-4F8A-990D-A425A6FC4296}" srcOrd="1" destOrd="0" presId="urn:microsoft.com/office/officeart/2005/8/layout/hierarchy5"/>
    <dgm:cxn modelId="{6E8E242B-3930-4091-898F-3BA2F1A3D3B5}" type="presParOf" srcId="{37F8F4E5-3114-4DA1-B0E4-463D49349A63}" destId="{DC28C3CC-328C-48DD-B9BE-20BBC3E6738F}" srcOrd="2" destOrd="0" presId="urn:microsoft.com/office/officeart/2005/8/layout/hierarchy5"/>
    <dgm:cxn modelId="{516200C3-8347-4E8A-AD0E-AE82DE48E7B9}" type="presParOf" srcId="{DC28C3CC-328C-48DD-B9BE-20BBC3E6738F}" destId="{2571B053-4443-4C32-B1B7-789E7C36B0AB}" srcOrd="0" destOrd="0" presId="urn:microsoft.com/office/officeart/2005/8/layout/hierarchy5"/>
    <dgm:cxn modelId="{38D941A8-47E6-4B6D-9FAE-52B7EEE75301}" type="presParOf" srcId="{37F8F4E5-3114-4DA1-B0E4-463D49349A63}" destId="{2552CDFC-76A7-4A22-8F57-510FABA4B426}" srcOrd="3" destOrd="0" presId="urn:microsoft.com/office/officeart/2005/8/layout/hierarchy5"/>
    <dgm:cxn modelId="{03D79DCB-45CE-468D-99F9-A1D7A4384960}" type="presParOf" srcId="{2552CDFC-76A7-4A22-8F57-510FABA4B426}" destId="{E51F5A81-087F-4429-AF6F-2083F03AFA05}" srcOrd="0" destOrd="0" presId="urn:microsoft.com/office/officeart/2005/8/layout/hierarchy5"/>
    <dgm:cxn modelId="{505C1642-2F24-4A4E-9DB4-84D156DBB48C}" type="presParOf" srcId="{2552CDFC-76A7-4A22-8F57-510FABA4B426}" destId="{9F8906D4-6CA8-4CFE-8659-2176BFF9DA99}" srcOrd="1" destOrd="0" presId="urn:microsoft.com/office/officeart/2005/8/layout/hierarchy5"/>
    <dgm:cxn modelId="{EC51E2AF-E3F4-4B45-8345-0D38BAC6DF9B}" type="presParOf" srcId="{9F8906D4-6CA8-4CFE-8659-2176BFF9DA99}" destId="{B55A7E13-D8E9-422F-BE3B-6B4D5C58AD32}" srcOrd="0" destOrd="0" presId="urn:microsoft.com/office/officeart/2005/8/layout/hierarchy5"/>
    <dgm:cxn modelId="{63232DF1-855C-46C5-BEA0-A67E344DE631}" type="presParOf" srcId="{B55A7E13-D8E9-422F-BE3B-6B4D5C58AD32}" destId="{CDBE894C-751D-418A-AEC4-C7A4E09F01CF}" srcOrd="0" destOrd="0" presId="urn:microsoft.com/office/officeart/2005/8/layout/hierarchy5"/>
    <dgm:cxn modelId="{9E2BE741-5003-4C3C-A221-7F54098D663A}" type="presParOf" srcId="{9F8906D4-6CA8-4CFE-8659-2176BFF9DA99}" destId="{B839C56C-83B9-4BF8-B65A-6E2A165AB195}" srcOrd="1" destOrd="0" presId="urn:microsoft.com/office/officeart/2005/8/layout/hierarchy5"/>
    <dgm:cxn modelId="{76AEE8A0-40A9-4856-BB91-EC20095E3449}" type="presParOf" srcId="{B839C56C-83B9-4BF8-B65A-6E2A165AB195}" destId="{B9506D3D-1639-4409-900B-045125EA75F8}" srcOrd="0" destOrd="0" presId="urn:microsoft.com/office/officeart/2005/8/layout/hierarchy5"/>
    <dgm:cxn modelId="{7EDB9DD2-5030-49BE-9199-C3288345F136}" type="presParOf" srcId="{B839C56C-83B9-4BF8-B65A-6E2A165AB195}" destId="{C493B6A6-E7D7-4EA5-8FAE-6C1E5391609A}" srcOrd="1" destOrd="0" presId="urn:microsoft.com/office/officeart/2005/8/layout/hierarchy5"/>
    <dgm:cxn modelId="{491CDDDE-EDA3-414A-92B3-4FD0700C4525}" type="presParOf" srcId="{E20B93F4-5DC8-4440-9DCD-F5DA134D5BA9}" destId="{386F6729-ADEB-4690-AC51-AE758497DB09}" srcOrd="1" destOrd="0" presId="urn:microsoft.com/office/officeart/2005/8/layout/hierarchy5"/>
    <dgm:cxn modelId="{FE937FC0-3880-40CE-99FE-402E92B0CBB4}" type="presParOf" srcId="{386F6729-ADEB-4690-AC51-AE758497DB09}" destId="{633D16DB-D4EE-43F5-AED4-0E56CF70EAC0}" srcOrd="0" destOrd="0" presId="urn:microsoft.com/office/officeart/2005/8/layout/hierarchy5"/>
    <dgm:cxn modelId="{BB2E5435-E987-4189-BAB7-73846D5374A4}" type="presParOf" srcId="{633D16DB-D4EE-43F5-AED4-0E56CF70EAC0}" destId="{5853739F-5B39-4B0A-B6A0-0E8C08F96D01}" srcOrd="0" destOrd="0" presId="urn:microsoft.com/office/officeart/2005/8/layout/hierarchy5"/>
    <dgm:cxn modelId="{8054EFC5-A58C-4C3F-9AA5-BAF8D09F5E18}" type="presParOf" srcId="{633D16DB-D4EE-43F5-AED4-0E56CF70EAC0}" destId="{E098E4AA-798C-4C41-9724-12DCB176311B}" srcOrd="1" destOrd="0" presId="urn:microsoft.com/office/officeart/2005/8/layout/hierarchy5"/>
    <dgm:cxn modelId="{3AB084AF-9A98-4486-9FA4-476118C51DC9}" type="presParOf" srcId="{386F6729-ADEB-4690-AC51-AE758497DB09}" destId="{F4593E0F-8C4F-4011-B6AA-FBF3B1F78C78}" srcOrd="1" destOrd="0" presId="urn:microsoft.com/office/officeart/2005/8/layout/hierarchy5"/>
    <dgm:cxn modelId="{8C3EABE2-D264-4CF1-8096-50F90D299B92}" type="presParOf" srcId="{F4593E0F-8C4F-4011-B6AA-FBF3B1F78C78}" destId="{55242B1B-0F60-4F80-A6AC-7CB877434038}" srcOrd="0" destOrd="0" presId="urn:microsoft.com/office/officeart/2005/8/layout/hierarchy5"/>
    <dgm:cxn modelId="{33B97EEA-37CB-48F5-AD27-36FDDC4351CC}" type="presParOf" srcId="{386F6729-ADEB-4690-AC51-AE758497DB09}" destId="{576F2537-F525-4E23-9C16-D00E87C84F8C}" srcOrd="2" destOrd="0" presId="urn:microsoft.com/office/officeart/2005/8/layout/hierarchy5"/>
    <dgm:cxn modelId="{356922E7-0586-4326-A69F-CBFBC0A5B725}" type="presParOf" srcId="{576F2537-F525-4E23-9C16-D00E87C84F8C}" destId="{59732403-0095-49FE-B6B7-6A64B101C583}" srcOrd="0" destOrd="0" presId="urn:microsoft.com/office/officeart/2005/8/layout/hierarchy5"/>
    <dgm:cxn modelId="{7FC03645-733A-4C9D-B545-85FADB306D99}" type="presParOf" srcId="{576F2537-F525-4E23-9C16-D00E87C84F8C}" destId="{351ED100-6A09-4742-A835-B7064684BABF}" srcOrd="1" destOrd="0" presId="urn:microsoft.com/office/officeart/2005/8/layout/hierarchy5"/>
    <dgm:cxn modelId="{9E048869-7AF4-4730-8B36-D2F3BAB964B7}" type="presParOf" srcId="{386F6729-ADEB-4690-AC51-AE758497DB09}" destId="{FEC2BD11-95EC-48ED-91BE-3A1F2A2D5609}" srcOrd="3" destOrd="0" presId="urn:microsoft.com/office/officeart/2005/8/layout/hierarchy5"/>
    <dgm:cxn modelId="{0522B161-B4FD-4CDC-B041-E53D33C3C665}" type="presParOf" srcId="{FEC2BD11-95EC-48ED-91BE-3A1F2A2D5609}" destId="{EEC56BEA-9E68-409C-9434-C6D1DDD92303}" srcOrd="0" destOrd="0" presId="urn:microsoft.com/office/officeart/2005/8/layout/hierarchy5"/>
    <dgm:cxn modelId="{15C66A75-69E2-4B1D-A385-F69C3CEDEF31}" type="presParOf" srcId="{386F6729-ADEB-4690-AC51-AE758497DB09}" destId="{202A1709-0526-42F9-B572-F515CC2221C2}" srcOrd="4" destOrd="0" presId="urn:microsoft.com/office/officeart/2005/8/layout/hierarchy5"/>
    <dgm:cxn modelId="{5450CDC8-768C-443D-A9C5-8D728145B7DB}" type="presParOf" srcId="{202A1709-0526-42F9-B572-F515CC2221C2}" destId="{F1D1DD74-2EED-4D63-8C11-5D2AA97DD035}" srcOrd="0" destOrd="0" presId="urn:microsoft.com/office/officeart/2005/8/layout/hierarchy5"/>
    <dgm:cxn modelId="{CB344862-0753-49BC-91DA-20D5EFA587F7}" type="presParOf" srcId="{202A1709-0526-42F9-B572-F515CC2221C2}" destId="{D545C72D-A9EB-475C-BDCD-C897EED5E08C}" srcOrd="1" destOrd="0" presId="urn:microsoft.com/office/officeart/2005/8/layout/hierarchy5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3F96B515-9DA1-49E8-8ED0-1521B79D373C}" type="doc">
      <dgm:prSet loTypeId="urn:microsoft.com/office/officeart/2005/8/layout/hierarchy5" loCatId="hierarchy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BFFCEE8-C1EF-4ED6-BC76-DCE6A0700A75}">
      <dgm:prSet phldrT="[Text]"/>
      <dgm:spPr/>
      <dgm:t>
        <a:bodyPr/>
        <a:lstStyle/>
        <a:p>
          <a:r>
            <a:rPr lang="ar-JO">
              <a:solidFill>
                <a:sysClr val="windowText" lastClr="000000"/>
              </a:solidFill>
            </a:rPr>
            <a:t>سجل تجاري</a:t>
          </a:r>
        </a:p>
      </dgm:t>
    </dgm:pt>
    <dgm:pt modelId="{31E17A16-7D11-404B-98F0-AE2F92DEE14B}" type="parTrans" cxnId="{904E2842-42ED-44ED-859C-384F7DFCBC26}">
      <dgm:prSet/>
      <dgm:spPr/>
      <dgm:t>
        <a:bodyPr/>
        <a:lstStyle/>
        <a:p>
          <a:endParaRPr lang="en-US"/>
        </a:p>
      </dgm:t>
    </dgm:pt>
    <dgm:pt modelId="{1C5C2AA8-E096-4FDB-9D64-8A240D13E81E}" type="sibTrans" cxnId="{904E2842-42ED-44ED-859C-384F7DFCBC26}">
      <dgm:prSet/>
      <dgm:spPr/>
      <dgm:t>
        <a:bodyPr/>
        <a:lstStyle/>
        <a:p>
          <a:endParaRPr lang="en-US"/>
        </a:p>
      </dgm:t>
    </dgm:pt>
    <dgm:pt modelId="{291C0361-0081-4CBF-BCCD-A61163884D99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دار التمويل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4D46D60-D77B-4A45-BC91-56F557F140CE}" type="parTrans" cxnId="{9762429D-64D8-4D31-91F9-681031DA5451}">
      <dgm:prSet/>
      <dgm:spPr/>
      <dgm:t>
        <a:bodyPr/>
        <a:lstStyle/>
        <a:p>
          <a:endParaRPr lang="en-US"/>
        </a:p>
      </dgm:t>
    </dgm:pt>
    <dgm:pt modelId="{8ECFE82A-14E2-4137-AB93-F93D9A7B164A}" type="sibTrans" cxnId="{9762429D-64D8-4D31-91F9-681031DA5451}">
      <dgm:prSet/>
      <dgm:spPr/>
      <dgm:t>
        <a:bodyPr/>
        <a:lstStyle/>
        <a:p>
          <a:endParaRPr lang="en-US"/>
        </a:p>
      </dgm:t>
    </dgm:pt>
    <dgm:pt modelId="{879A99C7-AAF8-440A-8142-D951BE729E65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C8BF8F24-6DBA-4109-93C9-BCB245F13F4E}" type="parTrans" cxnId="{ADAD0D83-CA8C-4370-9279-30490C487E0B}">
      <dgm:prSet/>
      <dgm:spPr/>
      <dgm:t>
        <a:bodyPr/>
        <a:lstStyle/>
        <a:p>
          <a:endParaRPr lang="en-US"/>
        </a:p>
      </dgm:t>
    </dgm:pt>
    <dgm:pt modelId="{D82D63D3-00E8-45FF-839D-9CE8A76F79AA}" type="sibTrans" cxnId="{ADAD0D83-CA8C-4370-9279-30490C487E0B}">
      <dgm:prSet/>
      <dgm:spPr/>
      <dgm:t>
        <a:bodyPr/>
        <a:lstStyle/>
        <a:p>
          <a:endParaRPr lang="en-US"/>
        </a:p>
      </dgm:t>
    </dgm:pt>
    <dgm:pt modelId="{7ADA4105-9B3A-43A2-AEBC-7B54E5634C57}">
      <dgm:prSet phldrT="[Text]"/>
      <dgm:spPr/>
      <dgm:t>
        <a:bodyPr/>
        <a:lstStyle/>
        <a:p>
          <a:r>
            <a:rPr lang="ar-JO"/>
            <a:t>تمكين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AF765479-F67A-42C2-9401-0FF05EC09ED4}" type="parTrans" cxnId="{36E54544-06F4-4E09-8819-8A9A60EA1214}">
      <dgm:prSet/>
      <dgm:spPr/>
      <dgm:t>
        <a:bodyPr/>
        <a:lstStyle/>
        <a:p>
          <a:endParaRPr lang="en-US"/>
        </a:p>
      </dgm:t>
    </dgm:pt>
    <dgm:pt modelId="{69D0C0CD-A492-4C46-BA5D-101F110F9A1A}" type="sibTrans" cxnId="{36E54544-06F4-4E09-8819-8A9A60EA1214}">
      <dgm:prSet/>
      <dgm:spPr/>
      <dgm:t>
        <a:bodyPr/>
        <a:lstStyle/>
        <a:p>
          <a:endParaRPr lang="en-US"/>
        </a:p>
      </dgm:t>
    </dgm:pt>
    <dgm:pt modelId="{DA0F9E65-CCD3-42FD-A490-60F6B86EC4B9}">
      <dgm:prSet phldrT="[Text]"/>
      <dgm:spPr/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97EAEF7-3B50-4A91-99A4-CA0F55F21673}" type="parTrans" cxnId="{379CF0A9-4143-4697-92BE-DEA22F938743}">
      <dgm:prSet/>
      <dgm:spPr/>
      <dgm:t>
        <a:bodyPr/>
        <a:lstStyle/>
        <a:p>
          <a:endParaRPr lang="en-US"/>
        </a:p>
      </dgm:t>
    </dgm:pt>
    <dgm:pt modelId="{65D0D0C7-524F-4DE1-A52B-6BDA9D2EB070}" type="sibTrans" cxnId="{379CF0A9-4143-4697-92BE-DEA22F938743}">
      <dgm:prSet/>
      <dgm:spPr/>
      <dgm:t>
        <a:bodyPr/>
        <a:lstStyle/>
        <a:p>
          <a:endParaRPr lang="en-US"/>
        </a:p>
      </dgm:t>
    </dgm:pt>
    <dgm:pt modelId="{867861A5-117E-48F6-B773-3AC04E2563A8}">
      <dgm:prSet phldrT="[Text]"/>
      <dgm:spPr/>
      <dgm:t>
        <a:bodyPr/>
        <a:lstStyle/>
        <a:p>
          <a:r>
            <a:rPr lang="ar-JO"/>
            <a:t>الحالة</a:t>
          </a:r>
          <a:endParaRPr lang="en-US"/>
        </a:p>
      </dgm:t>
    </dgm:pt>
    <dgm:pt modelId="{B3A34449-2601-4226-BC81-5D8827F65215}" type="parTrans" cxnId="{2977D996-DC7D-4341-8BB4-C26E91A243D5}">
      <dgm:prSet/>
      <dgm:spPr/>
      <dgm:t>
        <a:bodyPr/>
        <a:lstStyle/>
        <a:p>
          <a:endParaRPr lang="en-US"/>
        </a:p>
      </dgm:t>
    </dgm:pt>
    <dgm:pt modelId="{65E29C65-7114-4229-895D-FFD4E16162EF}" type="sibTrans" cxnId="{2977D996-DC7D-4341-8BB4-C26E91A243D5}">
      <dgm:prSet/>
      <dgm:spPr/>
      <dgm:t>
        <a:bodyPr/>
        <a:lstStyle/>
        <a:p>
          <a:endParaRPr lang="en-US"/>
        </a:p>
      </dgm:t>
    </dgm:pt>
    <dgm:pt modelId="{EB6FDAAE-DA2C-47B4-8DEB-7B2372792781}">
      <dgm:prSet phldrT="[Text]"/>
      <dgm:spPr/>
      <dgm:t>
        <a:bodyPr/>
        <a:lstStyle/>
        <a:p>
          <a:r>
            <a:rPr lang="ar-JO"/>
            <a:t>شركة التمويل</a:t>
          </a:r>
          <a:endParaRPr lang="en-US"/>
        </a:p>
      </dgm:t>
    </dgm:pt>
    <dgm:pt modelId="{CF1043E6-6B0A-4DB2-B3D5-6F102CE5696E}" type="parTrans" cxnId="{B7264BBC-3343-4C53-9554-C78F5C44FD0A}">
      <dgm:prSet/>
      <dgm:spPr/>
      <dgm:t>
        <a:bodyPr/>
        <a:lstStyle/>
        <a:p>
          <a:endParaRPr lang="en-US"/>
        </a:p>
      </dgm:t>
    </dgm:pt>
    <dgm:pt modelId="{1E01B6BB-BD18-45E6-887E-EBC776999C96}" type="sibTrans" cxnId="{B7264BBC-3343-4C53-9554-C78F5C44FD0A}">
      <dgm:prSet/>
      <dgm:spPr/>
      <dgm:t>
        <a:bodyPr/>
        <a:lstStyle/>
        <a:p>
          <a:endParaRPr lang="en-US"/>
        </a:p>
      </dgm:t>
    </dgm:pt>
    <dgm:pt modelId="{C31BC0AE-2541-450E-BE44-2618035CF8D4}">
      <dgm:prSet phldrT="[Text]"/>
      <dgm:spPr/>
      <dgm:t>
        <a:bodyPr/>
        <a:lstStyle/>
        <a:p>
          <a:r>
            <a:rPr lang="ar-JO"/>
            <a:t>قيمة التمويل</a:t>
          </a:r>
          <a:endParaRPr lang="en-US"/>
        </a:p>
      </dgm:t>
    </dgm:pt>
    <dgm:pt modelId="{D24D9539-971F-407C-84A3-ECF4A19BD77A}" type="parTrans" cxnId="{A040E479-5462-4856-B78B-D13B410E7B82}">
      <dgm:prSet/>
      <dgm:spPr/>
      <dgm:t>
        <a:bodyPr/>
        <a:lstStyle/>
        <a:p>
          <a:endParaRPr lang="en-US"/>
        </a:p>
      </dgm:t>
    </dgm:pt>
    <dgm:pt modelId="{E3A8B069-EE3A-45F8-8696-39433EB77321}" type="sibTrans" cxnId="{A040E479-5462-4856-B78B-D13B410E7B82}">
      <dgm:prSet/>
      <dgm:spPr/>
      <dgm:t>
        <a:bodyPr/>
        <a:lstStyle/>
        <a:p>
          <a:endParaRPr lang="en-US"/>
        </a:p>
      </dgm:t>
    </dgm:pt>
    <dgm:pt modelId="{6C4DEB4C-3E46-4582-BB2D-0BF1E1185063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الكوثر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7E963911-7FBA-4220-9C02-7EBE2F642892}" type="parTrans" cxnId="{C537235B-F43A-4203-B732-C34F51C37194}">
      <dgm:prSet/>
      <dgm:spPr/>
      <dgm:t>
        <a:bodyPr/>
        <a:lstStyle/>
        <a:p>
          <a:endParaRPr lang="en-US"/>
        </a:p>
      </dgm:t>
    </dgm:pt>
    <dgm:pt modelId="{FDD2F117-AF09-4EC3-8A1D-7C7A7BA37295}" type="sibTrans" cxnId="{C537235B-F43A-4203-B732-C34F51C37194}">
      <dgm:prSet/>
      <dgm:spPr/>
      <dgm:t>
        <a:bodyPr/>
        <a:lstStyle/>
        <a:p>
          <a:endParaRPr lang="en-US"/>
        </a:p>
      </dgm:t>
    </dgm:pt>
    <dgm:pt modelId="{D1BDDF25-FEE3-464F-B681-536ED4361855}">
      <dgm:prSet phldrT="[Text]"/>
      <dgm:spPr/>
      <dgm:t>
        <a:bodyPr/>
        <a:lstStyle/>
        <a:p>
          <a:r>
            <a:rPr lang="ar-JO"/>
            <a:t>السماحة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1DB7D8AC-30F2-4CCB-A1AF-90610D86AFF9}" type="parTrans" cxnId="{0CEC2BCE-C073-4378-8307-FB542A377CCA}">
      <dgm:prSet/>
      <dgm:spPr/>
      <dgm:t>
        <a:bodyPr/>
        <a:lstStyle/>
        <a:p>
          <a:endParaRPr lang="en-US"/>
        </a:p>
      </dgm:t>
    </dgm:pt>
    <dgm:pt modelId="{8595DDB3-546C-440D-A8CE-051E788FD8CB}" type="sibTrans" cxnId="{0CEC2BCE-C073-4378-8307-FB542A377CCA}">
      <dgm:prSet/>
      <dgm:spPr/>
      <dgm:t>
        <a:bodyPr/>
        <a:lstStyle/>
        <a:p>
          <a:endParaRPr lang="en-US"/>
        </a:p>
      </dgm:t>
    </dgm:pt>
    <dgm:pt modelId="{451F1153-538E-43F6-857B-57F3ED5FD69D}">
      <dgm:prSet phldrT="[Text]"/>
      <dgm:spPr/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2E1403F0-F195-4F51-BE43-8892E354E0C3}" type="parTrans" cxnId="{6FA8DA58-A35E-40FC-A569-F2D48CCAE1FD}">
      <dgm:prSet/>
      <dgm:spPr/>
      <dgm:t>
        <a:bodyPr/>
        <a:lstStyle/>
        <a:p>
          <a:endParaRPr lang="en-US"/>
        </a:p>
      </dgm:t>
    </dgm:pt>
    <dgm:pt modelId="{DEF74ED7-CC33-420A-A075-17EEC49FEA4B}" type="sibTrans" cxnId="{6FA8DA58-A35E-40FC-A569-F2D48CCAE1FD}">
      <dgm:prSet/>
      <dgm:spPr/>
      <dgm:t>
        <a:bodyPr/>
        <a:lstStyle/>
        <a:p>
          <a:endParaRPr lang="en-US"/>
        </a:p>
      </dgm:t>
    </dgm:pt>
    <dgm:pt modelId="{8B69D1F3-E682-4781-A7A5-8EDDEBA21D2D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0ADDD0D2-5080-4913-8DF1-0480842EBE57}" type="parTrans" cxnId="{A08285B1-B708-4B98-BB42-0121C07906E1}">
      <dgm:prSet/>
      <dgm:spPr/>
      <dgm:t>
        <a:bodyPr/>
        <a:lstStyle/>
        <a:p>
          <a:endParaRPr lang="en-US"/>
        </a:p>
      </dgm:t>
    </dgm:pt>
    <dgm:pt modelId="{ACC11D66-B215-4BC9-BDD9-4C12C40D75F5}" type="sibTrans" cxnId="{A08285B1-B708-4B98-BB42-0121C07906E1}">
      <dgm:prSet/>
      <dgm:spPr/>
      <dgm:t>
        <a:bodyPr/>
        <a:lstStyle/>
        <a:p>
          <a:endParaRPr lang="en-US"/>
        </a:p>
      </dgm:t>
    </dgm:pt>
    <dgm:pt modelId="{E20B93F4-5DC8-4440-9DCD-F5DA134D5BA9}" type="pres">
      <dgm:prSet presAssocID="{3F96B515-9DA1-49E8-8ED0-1521B79D373C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A396D6BB-573C-4276-849B-DF5FCEBF4467}" type="pres">
      <dgm:prSet presAssocID="{3F96B515-9DA1-49E8-8ED0-1521B79D373C}" presName="hierFlow" presStyleCnt="0"/>
      <dgm:spPr/>
    </dgm:pt>
    <dgm:pt modelId="{013F9FCF-57B5-4ABA-A64E-0B27FBA7F702}" type="pres">
      <dgm:prSet presAssocID="{3F96B515-9DA1-49E8-8ED0-1521B79D373C}" presName="firstBuf" presStyleCnt="0"/>
      <dgm:spPr/>
    </dgm:pt>
    <dgm:pt modelId="{65165A0D-F288-4C97-AF71-32DA8F40E59E}" type="pres">
      <dgm:prSet presAssocID="{3F96B515-9DA1-49E8-8ED0-1521B79D373C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D122D0BC-3491-44C3-80AE-272C507C8D2B}" type="pres">
      <dgm:prSet presAssocID="{2BFFCEE8-C1EF-4ED6-BC76-DCE6A0700A75}" presName="Name17" presStyleCnt="0"/>
      <dgm:spPr/>
    </dgm:pt>
    <dgm:pt modelId="{7DA6821B-9231-44F2-B2E7-CD8100055D4C}" type="pres">
      <dgm:prSet presAssocID="{2BFFCEE8-C1EF-4ED6-BC76-DCE6A0700A75}" presName="level1Shape" presStyleLbl="node0" presStyleIdx="0" presStyleCnt="1">
        <dgm:presLayoutVars>
          <dgm:chPref val="3"/>
        </dgm:presLayoutVars>
      </dgm:prSet>
      <dgm:spPr/>
    </dgm:pt>
    <dgm:pt modelId="{37F8F4E5-3114-4DA1-B0E4-463D49349A63}" type="pres">
      <dgm:prSet presAssocID="{2BFFCEE8-C1EF-4ED6-BC76-DCE6A0700A75}" presName="hierChild2" presStyleCnt="0"/>
      <dgm:spPr/>
    </dgm:pt>
    <dgm:pt modelId="{D25DF05C-67FB-4983-A01B-C35F1734F8BA}" type="pres">
      <dgm:prSet presAssocID="{D4D46D60-D77B-4A45-BC91-56F557F140CE}" presName="Name25" presStyleLbl="parChTrans1D2" presStyleIdx="0" presStyleCnt="4"/>
      <dgm:spPr/>
    </dgm:pt>
    <dgm:pt modelId="{9206469B-A230-420E-A183-CFE95936140C}" type="pres">
      <dgm:prSet presAssocID="{D4D46D60-D77B-4A45-BC91-56F557F140CE}" presName="connTx" presStyleLbl="parChTrans1D2" presStyleIdx="0" presStyleCnt="4"/>
      <dgm:spPr/>
    </dgm:pt>
    <dgm:pt modelId="{5AA83151-E82B-4641-A759-33F507296828}" type="pres">
      <dgm:prSet presAssocID="{291C0361-0081-4CBF-BCCD-A61163884D99}" presName="Name30" presStyleCnt="0"/>
      <dgm:spPr/>
    </dgm:pt>
    <dgm:pt modelId="{22DE6E38-6284-4F96-8CA4-34BF4DA76247}" type="pres">
      <dgm:prSet presAssocID="{291C0361-0081-4CBF-BCCD-A61163884D99}" presName="level2Shape" presStyleLbl="node2" presStyleIdx="0" presStyleCnt="4"/>
      <dgm:spPr/>
    </dgm:pt>
    <dgm:pt modelId="{3DBDF957-7459-49E9-8CAA-744ADE169EBF}" type="pres">
      <dgm:prSet presAssocID="{291C0361-0081-4CBF-BCCD-A61163884D99}" presName="hierChild3" presStyleCnt="0"/>
      <dgm:spPr/>
    </dgm:pt>
    <dgm:pt modelId="{9F5D0CC9-33A5-4393-9516-87FB01DEDC55}" type="pres">
      <dgm:prSet presAssocID="{C8BF8F24-6DBA-4109-93C9-BCB245F13F4E}" presName="Name25" presStyleLbl="parChTrans1D3" presStyleIdx="0" presStyleCnt="4"/>
      <dgm:spPr/>
    </dgm:pt>
    <dgm:pt modelId="{1B772F9B-4553-4D9B-8D9E-43624ACE2CD2}" type="pres">
      <dgm:prSet presAssocID="{C8BF8F24-6DBA-4109-93C9-BCB245F13F4E}" presName="connTx" presStyleLbl="parChTrans1D3" presStyleIdx="0" presStyleCnt="4"/>
      <dgm:spPr/>
    </dgm:pt>
    <dgm:pt modelId="{7DFEB7BA-0E6F-4E19-AE2F-758222062860}" type="pres">
      <dgm:prSet presAssocID="{879A99C7-AAF8-440A-8142-D951BE729E65}" presName="Name30" presStyleCnt="0"/>
      <dgm:spPr/>
    </dgm:pt>
    <dgm:pt modelId="{EF6B63FC-5100-44CA-811F-55A3C426BF82}" type="pres">
      <dgm:prSet presAssocID="{879A99C7-AAF8-440A-8142-D951BE729E65}" presName="level2Shape" presStyleLbl="node3" presStyleIdx="0" presStyleCnt="4" custLinFactNeighborX="-2242" custLinFactNeighborY="2242"/>
      <dgm:spPr/>
    </dgm:pt>
    <dgm:pt modelId="{5B00A7CB-7F7D-4F8A-990D-A425A6FC4296}" type="pres">
      <dgm:prSet presAssocID="{879A99C7-AAF8-440A-8142-D951BE729E65}" presName="hierChild3" presStyleCnt="0"/>
      <dgm:spPr/>
    </dgm:pt>
    <dgm:pt modelId="{DC28C3CC-328C-48DD-B9BE-20BBC3E6738F}" type="pres">
      <dgm:prSet presAssocID="{AF765479-F67A-42C2-9401-0FF05EC09ED4}" presName="Name25" presStyleLbl="parChTrans1D2" presStyleIdx="1" presStyleCnt="4"/>
      <dgm:spPr/>
    </dgm:pt>
    <dgm:pt modelId="{2571B053-4443-4C32-B1B7-789E7C36B0AB}" type="pres">
      <dgm:prSet presAssocID="{AF765479-F67A-42C2-9401-0FF05EC09ED4}" presName="connTx" presStyleLbl="parChTrans1D2" presStyleIdx="1" presStyleCnt="4"/>
      <dgm:spPr/>
    </dgm:pt>
    <dgm:pt modelId="{2552CDFC-76A7-4A22-8F57-510FABA4B426}" type="pres">
      <dgm:prSet presAssocID="{7ADA4105-9B3A-43A2-AEBC-7B54E5634C57}" presName="Name30" presStyleCnt="0"/>
      <dgm:spPr/>
    </dgm:pt>
    <dgm:pt modelId="{E51F5A81-087F-4429-AF6F-2083F03AFA05}" type="pres">
      <dgm:prSet presAssocID="{7ADA4105-9B3A-43A2-AEBC-7B54E5634C57}" presName="level2Shape" presStyleLbl="node2" presStyleIdx="1" presStyleCnt="4"/>
      <dgm:spPr/>
    </dgm:pt>
    <dgm:pt modelId="{9F8906D4-6CA8-4CFE-8659-2176BFF9DA99}" type="pres">
      <dgm:prSet presAssocID="{7ADA4105-9B3A-43A2-AEBC-7B54E5634C57}" presName="hierChild3" presStyleCnt="0"/>
      <dgm:spPr/>
    </dgm:pt>
    <dgm:pt modelId="{A06BBD84-2BD5-47AA-8DA4-D5BC89D40EDF}" type="pres">
      <dgm:prSet presAssocID="{2E1403F0-F195-4F51-BE43-8892E354E0C3}" presName="Name25" presStyleLbl="parChTrans1D3" presStyleIdx="1" presStyleCnt="4"/>
      <dgm:spPr/>
    </dgm:pt>
    <dgm:pt modelId="{F7AE66CF-0141-4361-B2F7-A54E1BF11A19}" type="pres">
      <dgm:prSet presAssocID="{2E1403F0-F195-4F51-BE43-8892E354E0C3}" presName="connTx" presStyleLbl="parChTrans1D3" presStyleIdx="1" presStyleCnt="4"/>
      <dgm:spPr/>
    </dgm:pt>
    <dgm:pt modelId="{0EA11F83-F5E9-4D42-B59B-22B3C875AFC5}" type="pres">
      <dgm:prSet presAssocID="{451F1153-538E-43F6-857B-57F3ED5FD69D}" presName="Name30" presStyleCnt="0"/>
      <dgm:spPr/>
    </dgm:pt>
    <dgm:pt modelId="{0C33464E-0F17-4F5A-8088-1173D00C0B52}" type="pres">
      <dgm:prSet presAssocID="{451F1153-538E-43F6-857B-57F3ED5FD69D}" presName="level2Shape" presStyleLbl="node3" presStyleIdx="1" presStyleCnt="4"/>
      <dgm:spPr/>
    </dgm:pt>
    <dgm:pt modelId="{2D31B6BB-880B-4335-B6C4-81DC32837DE4}" type="pres">
      <dgm:prSet presAssocID="{451F1153-538E-43F6-857B-57F3ED5FD69D}" presName="hierChild3" presStyleCnt="0"/>
      <dgm:spPr/>
    </dgm:pt>
    <dgm:pt modelId="{0BAA4C06-8AAF-473F-A974-B50B33682FA4}" type="pres">
      <dgm:prSet presAssocID="{7E963911-7FBA-4220-9C02-7EBE2F642892}" presName="Name25" presStyleLbl="parChTrans1D2" presStyleIdx="2" presStyleCnt="4"/>
      <dgm:spPr/>
    </dgm:pt>
    <dgm:pt modelId="{3AC26F9E-FD97-4AFE-AE6D-E28B04645D69}" type="pres">
      <dgm:prSet presAssocID="{7E963911-7FBA-4220-9C02-7EBE2F642892}" presName="connTx" presStyleLbl="parChTrans1D2" presStyleIdx="2" presStyleCnt="4"/>
      <dgm:spPr/>
    </dgm:pt>
    <dgm:pt modelId="{F725AA7F-9F43-4E1E-AA04-C4916FC34CCE}" type="pres">
      <dgm:prSet presAssocID="{6C4DEB4C-3E46-4582-BB2D-0BF1E1185063}" presName="Name30" presStyleCnt="0"/>
      <dgm:spPr/>
    </dgm:pt>
    <dgm:pt modelId="{041C507A-4C72-48D6-9D15-7FDB8773A130}" type="pres">
      <dgm:prSet presAssocID="{6C4DEB4C-3E46-4582-BB2D-0BF1E1185063}" presName="level2Shape" presStyleLbl="node2" presStyleIdx="2" presStyleCnt="4"/>
      <dgm:spPr/>
    </dgm:pt>
    <dgm:pt modelId="{FCC9CB7E-E89C-4423-B847-4962759A1568}" type="pres">
      <dgm:prSet presAssocID="{6C4DEB4C-3E46-4582-BB2D-0BF1E1185063}" presName="hierChild3" presStyleCnt="0"/>
      <dgm:spPr/>
    </dgm:pt>
    <dgm:pt modelId="{C5937E6E-6D4D-4F4B-AACA-9185CD3A6C28}" type="pres">
      <dgm:prSet presAssocID="{0ADDD0D2-5080-4913-8DF1-0480842EBE57}" presName="Name25" presStyleLbl="parChTrans1D3" presStyleIdx="2" presStyleCnt="4"/>
      <dgm:spPr/>
    </dgm:pt>
    <dgm:pt modelId="{5B9077EF-F14D-4D7E-B9A5-1E690B16F6BA}" type="pres">
      <dgm:prSet presAssocID="{0ADDD0D2-5080-4913-8DF1-0480842EBE57}" presName="connTx" presStyleLbl="parChTrans1D3" presStyleIdx="2" presStyleCnt="4"/>
      <dgm:spPr/>
    </dgm:pt>
    <dgm:pt modelId="{5EF1EBD5-5E5C-48B0-A4ED-A108A62A84CA}" type="pres">
      <dgm:prSet presAssocID="{8B69D1F3-E682-4781-A7A5-8EDDEBA21D2D}" presName="Name30" presStyleCnt="0"/>
      <dgm:spPr/>
    </dgm:pt>
    <dgm:pt modelId="{38943DD7-311D-4570-B066-E6FD3E6468C4}" type="pres">
      <dgm:prSet presAssocID="{8B69D1F3-E682-4781-A7A5-8EDDEBA21D2D}" presName="level2Shape" presStyleLbl="node3" presStyleIdx="2" presStyleCnt="4"/>
      <dgm:spPr/>
    </dgm:pt>
    <dgm:pt modelId="{A505DE1D-9BDD-4901-A9A2-D8880A4FC813}" type="pres">
      <dgm:prSet presAssocID="{8B69D1F3-E682-4781-A7A5-8EDDEBA21D2D}" presName="hierChild3" presStyleCnt="0"/>
      <dgm:spPr/>
    </dgm:pt>
    <dgm:pt modelId="{A6690199-C997-4781-9273-E814457E641D}" type="pres">
      <dgm:prSet presAssocID="{1DB7D8AC-30F2-4CCB-A1AF-90610D86AFF9}" presName="Name25" presStyleLbl="parChTrans1D2" presStyleIdx="3" presStyleCnt="4"/>
      <dgm:spPr/>
    </dgm:pt>
    <dgm:pt modelId="{3DAF66C8-B94A-4F3C-AE2E-CE67EDE41599}" type="pres">
      <dgm:prSet presAssocID="{1DB7D8AC-30F2-4CCB-A1AF-90610D86AFF9}" presName="connTx" presStyleLbl="parChTrans1D2" presStyleIdx="3" presStyleCnt="4"/>
      <dgm:spPr/>
    </dgm:pt>
    <dgm:pt modelId="{62F0A60D-37C2-404B-AA62-ACE80B914EDC}" type="pres">
      <dgm:prSet presAssocID="{D1BDDF25-FEE3-464F-B681-536ED4361855}" presName="Name30" presStyleCnt="0"/>
      <dgm:spPr/>
    </dgm:pt>
    <dgm:pt modelId="{31D8E891-C037-4299-B2DA-2E293F5FC0E2}" type="pres">
      <dgm:prSet presAssocID="{D1BDDF25-FEE3-464F-B681-536ED4361855}" presName="level2Shape" presStyleLbl="node2" presStyleIdx="3" presStyleCnt="4"/>
      <dgm:spPr/>
    </dgm:pt>
    <dgm:pt modelId="{56B7E223-B464-46BB-8DFD-BFF4FA837CA4}" type="pres">
      <dgm:prSet presAssocID="{D1BDDF25-FEE3-464F-B681-536ED4361855}" presName="hierChild3" presStyleCnt="0"/>
      <dgm:spPr/>
    </dgm:pt>
    <dgm:pt modelId="{B55A7E13-D8E9-422F-BE3B-6B4D5C58AD32}" type="pres">
      <dgm:prSet presAssocID="{D97EAEF7-3B50-4A91-99A4-CA0F55F21673}" presName="Name25" presStyleLbl="parChTrans1D3" presStyleIdx="3" presStyleCnt="4"/>
      <dgm:spPr/>
    </dgm:pt>
    <dgm:pt modelId="{CDBE894C-751D-418A-AEC4-C7A4E09F01CF}" type="pres">
      <dgm:prSet presAssocID="{D97EAEF7-3B50-4A91-99A4-CA0F55F21673}" presName="connTx" presStyleLbl="parChTrans1D3" presStyleIdx="3" presStyleCnt="4"/>
      <dgm:spPr/>
    </dgm:pt>
    <dgm:pt modelId="{B839C56C-83B9-4BF8-B65A-6E2A165AB195}" type="pres">
      <dgm:prSet presAssocID="{DA0F9E65-CCD3-42FD-A490-60F6B86EC4B9}" presName="Name30" presStyleCnt="0"/>
      <dgm:spPr/>
    </dgm:pt>
    <dgm:pt modelId="{B9506D3D-1639-4409-900B-045125EA75F8}" type="pres">
      <dgm:prSet presAssocID="{DA0F9E65-CCD3-42FD-A490-60F6B86EC4B9}" presName="level2Shape" presStyleLbl="node3" presStyleIdx="3" presStyleCnt="4" custLinFactNeighborX="-2242" custLinFactNeighborY="-2242"/>
      <dgm:spPr/>
    </dgm:pt>
    <dgm:pt modelId="{C493B6A6-E7D7-4EA5-8FAE-6C1E5391609A}" type="pres">
      <dgm:prSet presAssocID="{DA0F9E65-CCD3-42FD-A490-60F6B86EC4B9}" presName="hierChild3" presStyleCnt="0"/>
      <dgm:spPr/>
    </dgm:pt>
    <dgm:pt modelId="{386F6729-ADEB-4690-AC51-AE758497DB09}" type="pres">
      <dgm:prSet presAssocID="{3F96B515-9DA1-49E8-8ED0-1521B79D373C}" presName="bgShapesFlow" presStyleCnt="0"/>
      <dgm:spPr/>
    </dgm:pt>
    <dgm:pt modelId="{633D16DB-D4EE-43F5-AED4-0E56CF70EAC0}" type="pres">
      <dgm:prSet presAssocID="{867861A5-117E-48F6-B773-3AC04E2563A8}" presName="rectComp" presStyleCnt="0"/>
      <dgm:spPr/>
    </dgm:pt>
    <dgm:pt modelId="{5853739F-5B39-4B0A-B6A0-0E8C08F96D01}" type="pres">
      <dgm:prSet presAssocID="{867861A5-117E-48F6-B773-3AC04E2563A8}" presName="bgRect" presStyleLbl="bgShp" presStyleIdx="0" presStyleCnt="3" custLinFactNeighborX="-1868"/>
      <dgm:spPr/>
    </dgm:pt>
    <dgm:pt modelId="{E098E4AA-798C-4C41-9724-12DCB176311B}" type="pres">
      <dgm:prSet presAssocID="{867861A5-117E-48F6-B773-3AC04E2563A8}" presName="bgRectTx" presStyleLbl="bgShp" presStyleIdx="0" presStyleCnt="3">
        <dgm:presLayoutVars>
          <dgm:bulletEnabled val="1"/>
        </dgm:presLayoutVars>
      </dgm:prSet>
      <dgm:spPr/>
    </dgm:pt>
    <dgm:pt modelId="{F4593E0F-8C4F-4011-B6AA-FBF3B1F78C78}" type="pres">
      <dgm:prSet presAssocID="{867861A5-117E-48F6-B773-3AC04E2563A8}" presName="spComp" presStyleCnt="0"/>
      <dgm:spPr/>
    </dgm:pt>
    <dgm:pt modelId="{55242B1B-0F60-4F80-A6AC-7CB877434038}" type="pres">
      <dgm:prSet presAssocID="{867861A5-117E-48F6-B773-3AC04E2563A8}" presName="hSp" presStyleCnt="0"/>
      <dgm:spPr/>
    </dgm:pt>
    <dgm:pt modelId="{576F2537-F525-4E23-9C16-D00E87C84F8C}" type="pres">
      <dgm:prSet presAssocID="{EB6FDAAE-DA2C-47B4-8DEB-7B2372792781}" presName="rectComp" presStyleCnt="0"/>
      <dgm:spPr/>
    </dgm:pt>
    <dgm:pt modelId="{59732403-0095-49FE-B6B7-6A64B101C583}" type="pres">
      <dgm:prSet presAssocID="{EB6FDAAE-DA2C-47B4-8DEB-7B2372792781}" presName="bgRect" presStyleLbl="bgShp" presStyleIdx="1" presStyleCnt="3"/>
      <dgm:spPr/>
    </dgm:pt>
    <dgm:pt modelId="{351ED100-6A09-4742-A835-B7064684BABF}" type="pres">
      <dgm:prSet presAssocID="{EB6FDAAE-DA2C-47B4-8DEB-7B2372792781}" presName="bgRectTx" presStyleLbl="bgShp" presStyleIdx="1" presStyleCnt="3">
        <dgm:presLayoutVars>
          <dgm:bulletEnabled val="1"/>
        </dgm:presLayoutVars>
      </dgm:prSet>
      <dgm:spPr/>
    </dgm:pt>
    <dgm:pt modelId="{FEC2BD11-95EC-48ED-91BE-3A1F2A2D5609}" type="pres">
      <dgm:prSet presAssocID="{EB6FDAAE-DA2C-47B4-8DEB-7B2372792781}" presName="spComp" presStyleCnt="0"/>
      <dgm:spPr/>
    </dgm:pt>
    <dgm:pt modelId="{EEC56BEA-9E68-409C-9434-C6D1DDD92303}" type="pres">
      <dgm:prSet presAssocID="{EB6FDAAE-DA2C-47B4-8DEB-7B2372792781}" presName="hSp" presStyleCnt="0"/>
      <dgm:spPr/>
    </dgm:pt>
    <dgm:pt modelId="{202A1709-0526-42F9-B572-F515CC2221C2}" type="pres">
      <dgm:prSet presAssocID="{C31BC0AE-2541-450E-BE44-2618035CF8D4}" presName="rectComp" presStyleCnt="0"/>
      <dgm:spPr/>
    </dgm:pt>
    <dgm:pt modelId="{F1D1DD74-2EED-4D63-8C11-5D2AA97DD035}" type="pres">
      <dgm:prSet presAssocID="{C31BC0AE-2541-450E-BE44-2618035CF8D4}" presName="bgRect" presStyleLbl="bgShp" presStyleIdx="2" presStyleCnt="3"/>
      <dgm:spPr/>
    </dgm:pt>
    <dgm:pt modelId="{D545C72D-A9EB-475C-BDCD-C897EED5E08C}" type="pres">
      <dgm:prSet presAssocID="{C31BC0AE-2541-450E-BE44-2618035CF8D4}" presName="bgRectTx" presStyleLbl="bgShp" presStyleIdx="2" presStyleCnt="3">
        <dgm:presLayoutVars>
          <dgm:bulletEnabled val="1"/>
        </dgm:presLayoutVars>
      </dgm:prSet>
      <dgm:spPr/>
    </dgm:pt>
  </dgm:ptLst>
  <dgm:cxnLst>
    <dgm:cxn modelId="{E671C505-F7E2-4D75-86BA-659CAEDBC541}" type="presOf" srcId="{6C4DEB4C-3E46-4582-BB2D-0BF1E1185063}" destId="{041C507A-4C72-48D6-9D15-7FDB8773A130}" srcOrd="0" destOrd="0" presId="urn:microsoft.com/office/officeart/2005/8/layout/hierarchy5"/>
    <dgm:cxn modelId="{DD463A0E-90BD-4AFC-A35E-688E798A6FF4}" type="presOf" srcId="{C31BC0AE-2541-450E-BE44-2618035CF8D4}" destId="{F1D1DD74-2EED-4D63-8C11-5D2AA97DD035}" srcOrd="0" destOrd="0" presId="urn:microsoft.com/office/officeart/2005/8/layout/hierarchy5"/>
    <dgm:cxn modelId="{506FFD0E-55CE-442F-B538-C224F655B738}" type="presOf" srcId="{AF765479-F67A-42C2-9401-0FF05EC09ED4}" destId="{DC28C3CC-328C-48DD-B9BE-20BBC3E6738F}" srcOrd="0" destOrd="0" presId="urn:microsoft.com/office/officeart/2005/8/layout/hierarchy5"/>
    <dgm:cxn modelId="{E89A6C0F-59F9-499C-AB28-D47F21F11293}" type="presOf" srcId="{0ADDD0D2-5080-4913-8DF1-0480842EBE57}" destId="{C5937E6E-6D4D-4F4B-AACA-9185CD3A6C28}" srcOrd="0" destOrd="0" presId="urn:microsoft.com/office/officeart/2005/8/layout/hierarchy5"/>
    <dgm:cxn modelId="{EE7D7413-873C-4899-9BC7-9CF89331DCCD}" type="presOf" srcId="{D97EAEF7-3B50-4A91-99A4-CA0F55F21673}" destId="{CDBE894C-751D-418A-AEC4-C7A4E09F01CF}" srcOrd="1" destOrd="0" presId="urn:microsoft.com/office/officeart/2005/8/layout/hierarchy5"/>
    <dgm:cxn modelId="{D79AF914-C11D-46A2-9264-AF18B6EDFA02}" type="presOf" srcId="{867861A5-117E-48F6-B773-3AC04E2563A8}" destId="{E098E4AA-798C-4C41-9724-12DCB176311B}" srcOrd="1" destOrd="0" presId="urn:microsoft.com/office/officeart/2005/8/layout/hierarchy5"/>
    <dgm:cxn modelId="{C0387815-813B-46C9-B6AC-BC1F6DA17167}" type="presOf" srcId="{2E1403F0-F195-4F51-BE43-8892E354E0C3}" destId="{F7AE66CF-0141-4361-B2F7-A54E1BF11A19}" srcOrd="1" destOrd="0" presId="urn:microsoft.com/office/officeart/2005/8/layout/hierarchy5"/>
    <dgm:cxn modelId="{A10A2118-1DAE-40B5-BEAF-68FAAC7387BE}" type="presOf" srcId="{291C0361-0081-4CBF-BCCD-A61163884D99}" destId="{22DE6E38-6284-4F96-8CA4-34BF4DA76247}" srcOrd="0" destOrd="0" presId="urn:microsoft.com/office/officeart/2005/8/layout/hierarchy5"/>
    <dgm:cxn modelId="{AB262820-D28A-426C-8FA2-C08C2D0EB6FC}" type="presOf" srcId="{879A99C7-AAF8-440A-8142-D951BE729E65}" destId="{EF6B63FC-5100-44CA-811F-55A3C426BF82}" srcOrd="0" destOrd="0" presId="urn:microsoft.com/office/officeart/2005/8/layout/hierarchy5"/>
    <dgm:cxn modelId="{3A79E030-F6E2-4B71-AB2B-0C64AED272E1}" type="presOf" srcId="{867861A5-117E-48F6-B773-3AC04E2563A8}" destId="{5853739F-5B39-4B0A-B6A0-0E8C08F96D01}" srcOrd="0" destOrd="0" presId="urn:microsoft.com/office/officeart/2005/8/layout/hierarchy5"/>
    <dgm:cxn modelId="{4FA58E37-B9CD-4C7E-B0AB-E923D3DE9267}" type="presOf" srcId="{D1BDDF25-FEE3-464F-B681-536ED4361855}" destId="{31D8E891-C037-4299-B2DA-2E293F5FC0E2}" srcOrd="0" destOrd="0" presId="urn:microsoft.com/office/officeart/2005/8/layout/hierarchy5"/>
    <dgm:cxn modelId="{CA80EF3D-8C9F-494F-ABA1-9221DF6BBF22}" type="presOf" srcId="{1DB7D8AC-30F2-4CCB-A1AF-90610D86AFF9}" destId="{A6690199-C997-4781-9273-E814457E641D}" srcOrd="0" destOrd="0" presId="urn:microsoft.com/office/officeart/2005/8/layout/hierarchy5"/>
    <dgm:cxn modelId="{C537235B-F43A-4203-B732-C34F51C37194}" srcId="{2BFFCEE8-C1EF-4ED6-BC76-DCE6A0700A75}" destId="{6C4DEB4C-3E46-4582-BB2D-0BF1E1185063}" srcOrd="2" destOrd="0" parTransId="{7E963911-7FBA-4220-9C02-7EBE2F642892}" sibTransId="{FDD2F117-AF09-4EC3-8A1D-7C7A7BA37295}"/>
    <dgm:cxn modelId="{904E2842-42ED-44ED-859C-384F7DFCBC26}" srcId="{3F96B515-9DA1-49E8-8ED0-1521B79D373C}" destId="{2BFFCEE8-C1EF-4ED6-BC76-DCE6A0700A75}" srcOrd="0" destOrd="0" parTransId="{31E17A16-7D11-404B-98F0-AE2F92DEE14B}" sibTransId="{1C5C2AA8-E096-4FDB-9D64-8A240D13E81E}"/>
    <dgm:cxn modelId="{78767D43-7DDE-482C-8BBA-E365D3196AB8}" type="presOf" srcId="{D4D46D60-D77B-4A45-BC91-56F557F140CE}" destId="{9206469B-A230-420E-A183-CFE95936140C}" srcOrd="1" destOrd="0" presId="urn:microsoft.com/office/officeart/2005/8/layout/hierarchy5"/>
    <dgm:cxn modelId="{36E54544-06F4-4E09-8819-8A9A60EA1214}" srcId="{2BFFCEE8-C1EF-4ED6-BC76-DCE6A0700A75}" destId="{7ADA4105-9B3A-43A2-AEBC-7B54E5634C57}" srcOrd="1" destOrd="0" parTransId="{AF765479-F67A-42C2-9401-0FF05EC09ED4}" sibTransId="{69D0C0CD-A492-4C46-BA5D-101F110F9A1A}"/>
    <dgm:cxn modelId="{C98CEC4E-0F4B-4A90-AE3A-EFB3E614AAA6}" type="presOf" srcId="{7ADA4105-9B3A-43A2-AEBC-7B54E5634C57}" destId="{E51F5A81-087F-4429-AF6F-2083F03AFA05}" srcOrd="0" destOrd="0" presId="urn:microsoft.com/office/officeart/2005/8/layout/hierarchy5"/>
    <dgm:cxn modelId="{63027651-AF8D-4433-B17C-A3530A4DDF06}" type="presOf" srcId="{DA0F9E65-CCD3-42FD-A490-60F6B86EC4B9}" destId="{B9506D3D-1639-4409-900B-045125EA75F8}" srcOrd="0" destOrd="0" presId="urn:microsoft.com/office/officeart/2005/8/layout/hierarchy5"/>
    <dgm:cxn modelId="{01221772-266A-4232-90A8-8752AFAE7247}" type="presOf" srcId="{7E963911-7FBA-4220-9C02-7EBE2F642892}" destId="{0BAA4C06-8AAF-473F-A974-B50B33682FA4}" srcOrd="0" destOrd="0" presId="urn:microsoft.com/office/officeart/2005/8/layout/hierarchy5"/>
    <dgm:cxn modelId="{AD257653-79E7-4F27-91F8-88E55B766C21}" type="presOf" srcId="{2BFFCEE8-C1EF-4ED6-BC76-DCE6A0700A75}" destId="{7DA6821B-9231-44F2-B2E7-CD8100055D4C}" srcOrd="0" destOrd="0" presId="urn:microsoft.com/office/officeart/2005/8/layout/hierarchy5"/>
    <dgm:cxn modelId="{D91E5774-5E46-42D7-8387-4D20DCBB427D}" type="presOf" srcId="{451F1153-538E-43F6-857B-57F3ED5FD69D}" destId="{0C33464E-0F17-4F5A-8088-1173D00C0B52}" srcOrd="0" destOrd="0" presId="urn:microsoft.com/office/officeart/2005/8/layout/hierarchy5"/>
    <dgm:cxn modelId="{AC9FC878-9A73-4D1D-9AAD-3EE3BC686765}" type="presOf" srcId="{AF765479-F67A-42C2-9401-0FF05EC09ED4}" destId="{2571B053-4443-4C32-B1B7-789E7C36B0AB}" srcOrd="1" destOrd="0" presId="urn:microsoft.com/office/officeart/2005/8/layout/hierarchy5"/>
    <dgm:cxn modelId="{6FA8DA58-A35E-40FC-A569-F2D48CCAE1FD}" srcId="{7ADA4105-9B3A-43A2-AEBC-7B54E5634C57}" destId="{451F1153-538E-43F6-857B-57F3ED5FD69D}" srcOrd="0" destOrd="0" parTransId="{2E1403F0-F195-4F51-BE43-8892E354E0C3}" sibTransId="{DEF74ED7-CC33-420A-A075-17EEC49FEA4B}"/>
    <dgm:cxn modelId="{A3E14679-590C-4C8F-A3DD-F4586360C9C7}" type="presOf" srcId="{3F96B515-9DA1-49E8-8ED0-1521B79D373C}" destId="{E20B93F4-5DC8-4440-9DCD-F5DA134D5BA9}" srcOrd="0" destOrd="0" presId="urn:microsoft.com/office/officeart/2005/8/layout/hierarchy5"/>
    <dgm:cxn modelId="{D2D47B79-2913-48B7-A8FD-C3B127F4FEE2}" type="presOf" srcId="{1DB7D8AC-30F2-4CCB-A1AF-90610D86AFF9}" destId="{3DAF66C8-B94A-4F3C-AE2E-CE67EDE41599}" srcOrd="1" destOrd="0" presId="urn:microsoft.com/office/officeart/2005/8/layout/hierarchy5"/>
    <dgm:cxn modelId="{5B21AD79-98B6-4004-8338-FE8AF162A8D0}" type="presOf" srcId="{2E1403F0-F195-4F51-BE43-8892E354E0C3}" destId="{A06BBD84-2BD5-47AA-8DA4-D5BC89D40EDF}" srcOrd="0" destOrd="0" presId="urn:microsoft.com/office/officeart/2005/8/layout/hierarchy5"/>
    <dgm:cxn modelId="{A040E479-5462-4856-B78B-D13B410E7B82}" srcId="{3F96B515-9DA1-49E8-8ED0-1521B79D373C}" destId="{C31BC0AE-2541-450E-BE44-2618035CF8D4}" srcOrd="3" destOrd="0" parTransId="{D24D9539-971F-407C-84A3-ECF4A19BD77A}" sibTransId="{E3A8B069-EE3A-45F8-8696-39433EB77321}"/>
    <dgm:cxn modelId="{8674AE7D-7808-4B2C-8981-EE5003F6999B}" type="presOf" srcId="{C8BF8F24-6DBA-4109-93C9-BCB245F13F4E}" destId="{9F5D0CC9-33A5-4393-9516-87FB01DEDC55}" srcOrd="0" destOrd="0" presId="urn:microsoft.com/office/officeart/2005/8/layout/hierarchy5"/>
    <dgm:cxn modelId="{ADAD0D83-CA8C-4370-9279-30490C487E0B}" srcId="{291C0361-0081-4CBF-BCCD-A61163884D99}" destId="{879A99C7-AAF8-440A-8142-D951BE729E65}" srcOrd="0" destOrd="0" parTransId="{C8BF8F24-6DBA-4109-93C9-BCB245F13F4E}" sibTransId="{D82D63D3-00E8-45FF-839D-9CE8A76F79AA}"/>
    <dgm:cxn modelId="{E0999788-056D-40D9-B081-5C68720A8B21}" type="presOf" srcId="{C8BF8F24-6DBA-4109-93C9-BCB245F13F4E}" destId="{1B772F9B-4553-4D9B-8D9E-43624ACE2CD2}" srcOrd="1" destOrd="0" presId="urn:microsoft.com/office/officeart/2005/8/layout/hierarchy5"/>
    <dgm:cxn modelId="{859E948A-2F74-425D-8D5C-506B02355736}" type="presOf" srcId="{C31BC0AE-2541-450E-BE44-2618035CF8D4}" destId="{D545C72D-A9EB-475C-BDCD-C897EED5E08C}" srcOrd="1" destOrd="0" presId="urn:microsoft.com/office/officeart/2005/8/layout/hierarchy5"/>
    <dgm:cxn modelId="{FD64E38C-FD37-48FD-9F44-1219978364DE}" type="presOf" srcId="{EB6FDAAE-DA2C-47B4-8DEB-7B2372792781}" destId="{351ED100-6A09-4742-A835-B7064684BABF}" srcOrd="1" destOrd="0" presId="urn:microsoft.com/office/officeart/2005/8/layout/hierarchy5"/>
    <dgm:cxn modelId="{1BD64593-B28D-4971-84A8-23AED96D7C83}" type="presOf" srcId="{D4D46D60-D77B-4A45-BC91-56F557F140CE}" destId="{D25DF05C-67FB-4983-A01B-C35F1734F8BA}" srcOrd="0" destOrd="0" presId="urn:microsoft.com/office/officeart/2005/8/layout/hierarchy5"/>
    <dgm:cxn modelId="{2977D996-DC7D-4341-8BB4-C26E91A243D5}" srcId="{3F96B515-9DA1-49E8-8ED0-1521B79D373C}" destId="{867861A5-117E-48F6-B773-3AC04E2563A8}" srcOrd="1" destOrd="0" parTransId="{B3A34449-2601-4226-BC81-5D8827F65215}" sibTransId="{65E29C65-7114-4229-895D-FFD4E16162EF}"/>
    <dgm:cxn modelId="{41EED699-F06A-4E34-9FD6-36D662CA6E7F}" type="presOf" srcId="{D97EAEF7-3B50-4A91-99A4-CA0F55F21673}" destId="{B55A7E13-D8E9-422F-BE3B-6B4D5C58AD32}" srcOrd="0" destOrd="0" presId="urn:microsoft.com/office/officeart/2005/8/layout/hierarchy5"/>
    <dgm:cxn modelId="{9762429D-64D8-4D31-91F9-681031DA5451}" srcId="{2BFFCEE8-C1EF-4ED6-BC76-DCE6A0700A75}" destId="{291C0361-0081-4CBF-BCCD-A61163884D99}" srcOrd="0" destOrd="0" parTransId="{D4D46D60-D77B-4A45-BC91-56F557F140CE}" sibTransId="{8ECFE82A-14E2-4137-AB93-F93D9A7B164A}"/>
    <dgm:cxn modelId="{379CF0A9-4143-4697-92BE-DEA22F938743}" srcId="{D1BDDF25-FEE3-464F-B681-536ED4361855}" destId="{DA0F9E65-CCD3-42FD-A490-60F6B86EC4B9}" srcOrd="0" destOrd="0" parTransId="{D97EAEF7-3B50-4A91-99A4-CA0F55F21673}" sibTransId="{65D0D0C7-524F-4DE1-A52B-6BDA9D2EB070}"/>
    <dgm:cxn modelId="{A08285B1-B708-4B98-BB42-0121C07906E1}" srcId="{6C4DEB4C-3E46-4582-BB2D-0BF1E1185063}" destId="{8B69D1F3-E682-4781-A7A5-8EDDEBA21D2D}" srcOrd="0" destOrd="0" parTransId="{0ADDD0D2-5080-4913-8DF1-0480842EBE57}" sibTransId="{ACC11D66-B215-4BC9-BDD9-4C12C40D75F5}"/>
    <dgm:cxn modelId="{C9F198B4-8B5D-415F-9F93-1B5678E59CA3}" type="presOf" srcId="{0ADDD0D2-5080-4913-8DF1-0480842EBE57}" destId="{5B9077EF-F14D-4D7E-B9A5-1E690B16F6BA}" srcOrd="1" destOrd="0" presId="urn:microsoft.com/office/officeart/2005/8/layout/hierarchy5"/>
    <dgm:cxn modelId="{B7264BBC-3343-4C53-9554-C78F5C44FD0A}" srcId="{3F96B515-9DA1-49E8-8ED0-1521B79D373C}" destId="{EB6FDAAE-DA2C-47B4-8DEB-7B2372792781}" srcOrd="2" destOrd="0" parTransId="{CF1043E6-6B0A-4DB2-B3D5-6F102CE5696E}" sibTransId="{1E01B6BB-BD18-45E6-887E-EBC776999C96}"/>
    <dgm:cxn modelId="{FF8D73BE-6BD2-48EC-81D9-6C1FDB208BA5}" type="presOf" srcId="{7E963911-7FBA-4220-9C02-7EBE2F642892}" destId="{3AC26F9E-FD97-4AFE-AE6D-E28B04645D69}" srcOrd="1" destOrd="0" presId="urn:microsoft.com/office/officeart/2005/8/layout/hierarchy5"/>
    <dgm:cxn modelId="{0CEC2BCE-C073-4378-8307-FB542A377CCA}" srcId="{2BFFCEE8-C1EF-4ED6-BC76-DCE6A0700A75}" destId="{D1BDDF25-FEE3-464F-B681-536ED4361855}" srcOrd="3" destOrd="0" parTransId="{1DB7D8AC-30F2-4CCB-A1AF-90610D86AFF9}" sibTransId="{8595DDB3-546C-440D-A8CE-051E788FD8CB}"/>
    <dgm:cxn modelId="{E0BEB7EC-ADD1-4A2E-9BD6-51793479F7E9}" type="presOf" srcId="{8B69D1F3-E682-4781-A7A5-8EDDEBA21D2D}" destId="{38943DD7-311D-4570-B066-E6FD3E6468C4}" srcOrd="0" destOrd="0" presId="urn:microsoft.com/office/officeart/2005/8/layout/hierarchy5"/>
    <dgm:cxn modelId="{AAAAD4EF-3958-459E-8A93-5D978F208876}" type="presOf" srcId="{EB6FDAAE-DA2C-47B4-8DEB-7B2372792781}" destId="{59732403-0095-49FE-B6B7-6A64B101C583}" srcOrd="0" destOrd="0" presId="urn:microsoft.com/office/officeart/2005/8/layout/hierarchy5"/>
    <dgm:cxn modelId="{2FF1FAD9-E3F8-4B6B-8ACE-5C39660A801E}" type="presParOf" srcId="{E20B93F4-5DC8-4440-9DCD-F5DA134D5BA9}" destId="{A396D6BB-573C-4276-849B-DF5FCEBF4467}" srcOrd="0" destOrd="0" presId="urn:microsoft.com/office/officeart/2005/8/layout/hierarchy5"/>
    <dgm:cxn modelId="{D2CE6869-A1A6-4961-AB6D-C388E29725AF}" type="presParOf" srcId="{A396D6BB-573C-4276-849B-DF5FCEBF4467}" destId="{013F9FCF-57B5-4ABA-A64E-0B27FBA7F702}" srcOrd="0" destOrd="0" presId="urn:microsoft.com/office/officeart/2005/8/layout/hierarchy5"/>
    <dgm:cxn modelId="{3F3F6B85-479B-4D53-A593-8C5AA08A12A3}" type="presParOf" srcId="{A396D6BB-573C-4276-849B-DF5FCEBF4467}" destId="{65165A0D-F288-4C97-AF71-32DA8F40E59E}" srcOrd="1" destOrd="0" presId="urn:microsoft.com/office/officeart/2005/8/layout/hierarchy5"/>
    <dgm:cxn modelId="{FF5AEBD2-A336-4A2A-B90A-46D7F3EF7374}" type="presParOf" srcId="{65165A0D-F288-4C97-AF71-32DA8F40E59E}" destId="{D122D0BC-3491-44C3-80AE-272C507C8D2B}" srcOrd="0" destOrd="0" presId="urn:microsoft.com/office/officeart/2005/8/layout/hierarchy5"/>
    <dgm:cxn modelId="{5E8C8DB1-475B-40A8-87FE-09B038A7B944}" type="presParOf" srcId="{D122D0BC-3491-44C3-80AE-272C507C8D2B}" destId="{7DA6821B-9231-44F2-B2E7-CD8100055D4C}" srcOrd="0" destOrd="0" presId="urn:microsoft.com/office/officeart/2005/8/layout/hierarchy5"/>
    <dgm:cxn modelId="{D39601C9-6F52-4C9D-8926-2BB35AEBE96E}" type="presParOf" srcId="{D122D0BC-3491-44C3-80AE-272C507C8D2B}" destId="{37F8F4E5-3114-4DA1-B0E4-463D49349A63}" srcOrd="1" destOrd="0" presId="urn:microsoft.com/office/officeart/2005/8/layout/hierarchy5"/>
    <dgm:cxn modelId="{BD095E41-76A4-49AE-9781-575DB0BB477A}" type="presParOf" srcId="{37F8F4E5-3114-4DA1-B0E4-463D49349A63}" destId="{D25DF05C-67FB-4983-A01B-C35F1734F8BA}" srcOrd="0" destOrd="0" presId="urn:microsoft.com/office/officeart/2005/8/layout/hierarchy5"/>
    <dgm:cxn modelId="{0B64A263-55CD-446B-B565-09854197E135}" type="presParOf" srcId="{D25DF05C-67FB-4983-A01B-C35F1734F8BA}" destId="{9206469B-A230-420E-A183-CFE95936140C}" srcOrd="0" destOrd="0" presId="urn:microsoft.com/office/officeart/2005/8/layout/hierarchy5"/>
    <dgm:cxn modelId="{6DE1ED33-14D4-4BAF-821F-A8D0F53E7454}" type="presParOf" srcId="{37F8F4E5-3114-4DA1-B0E4-463D49349A63}" destId="{5AA83151-E82B-4641-A759-33F507296828}" srcOrd="1" destOrd="0" presId="urn:microsoft.com/office/officeart/2005/8/layout/hierarchy5"/>
    <dgm:cxn modelId="{9516FCE5-5D1E-47A6-9691-9DF6ACD4D120}" type="presParOf" srcId="{5AA83151-E82B-4641-A759-33F507296828}" destId="{22DE6E38-6284-4F96-8CA4-34BF4DA76247}" srcOrd="0" destOrd="0" presId="urn:microsoft.com/office/officeart/2005/8/layout/hierarchy5"/>
    <dgm:cxn modelId="{2E45436A-5D14-40E3-B25B-CA1B124B71F8}" type="presParOf" srcId="{5AA83151-E82B-4641-A759-33F507296828}" destId="{3DBDF957-7459-49E9-8CAA-744ADE169EBF}" srcOrd="1" destOrd="0" presId="urn:microsoft.com/office/officeart/2005/8/layout/hierarchy5"/>
    <dgm:cxn modelId="{D7AEDF70-0247-42CB-BE8A-E78B1BDFE754}" type="presParOf" srcId="{3DBDF957-7459-49E9-8CAA-744ADE169EBF}" destId="{9F5D0CC9-33A5-4393-9516-87FB01DEDC55}" srcOrd="0" destOrd="0" presId="urn:microsoft.com/office/officeart/2005/8/layout/hierarchy5"/>
    <dgm:cxn modelId="{DC398625-697D-415C-8CBD-F8C653352845}" type="presParOf" srcId="{9F5D0CC9-33A5-4393-9516-87FB01DEDC55}" destId="{1B772F9B-4553-4D9B-8D9E-43624ACE2CD2}" srcOrd="0" destOrd="0" presId="urn:microsoft.com/office/officeart/2005/8/layout/hierarchy5"/>
    <dgm:cxn modelId="{B297F0B6-D982-475C-895C-FFD33AA90FF4}" type="presParOf" srcId="{3DBDF957-7459-49E9-8CAA-744ADE169EBF}" destId="{7DFEB7BA-0E6F-4E19-AE2F-758222062860}" srcOrd="1" destOrd="0" presId="urn:microsoft.com/office/officeart/2005/8/layout/hierarchy5"/>
    <dgm:cxn modelId="{FD911C30-02F4-4DA8-846E-364D20F8F9BD}" type="presParOf" srcId="{7DFEB7BA-0E6F-4E19-AE2F-758222062860}" destId="{EF6B63FC-5100-44CA-811F-55A3C426BF82}" srcOrd="0" destOrd="0" presId="urn:microsoft.com/office/officeart/2005/8/layout/hierarchy5"/>
    <dgm:cxn modelId="{330DE89F-6D99-452E-9EB4-76F93647A646}" type="presParOf" srcId="{7DFEB7BA-0E6F-4E19-AE2F-758222062860}" destId="{5B00A7CB-7F7D-4F8A-990D-A425A6FC4296}" srcOrd="1" destOrd="0" presId="urn:microsoft.com/office/officeart/2005/8/layout/hierarchy5"/>
    <dgm:cxn modelId="{6E8E242B-3930-4091-898F-3BA2F1A3D3B5}" type="presParOf" srcId="{37F8F4E5-3114-4DA1-B0E4-463D49349A63}" destId="{DC28C3CC-328C-48DD-B9BE-20BBC3E6738F}" srcOrd="2" destOrd="0" presId="urn:microsoft.com/office/officeart/2005/8/layout/hierarchy5"/>
    <dgm:cxn modelId="{516200C3-8347-4E8A-AD0E-AE82DE48E7B9}" type="presParOf" srcId="{DC28C3CC-328C-48DD-B9BE-20BBC3E6738F}" destId="{2571B053-4443-4C32-B1B7-789E7C36B0AB}" srcOrd="0" destOrd="0" presId="urn:microsoft.com/office/officeart/2005/8/layout/hierarchy5"/>
    <dgm:cxn modelId="{38D941A8-47E6-4B6D-9FAE-52B7EEE75301}" type="presParOf" srcId="{37F8F4E5-3114-4DA1-B0E4-463D49349A63}" destId="{2552CDFC-76A7-4A22-8F57-510FABA4B426}" srcOrd="3" destOrd="0" presId="urn:microsoft.com/office/officeart/2005/8/layout/hierarchy5"/>
    <dgm:cxn modelId="{03D79DCB-45CE-468D-99F9-A1D7A4384960}" type="presParOf" srcId="{2552CDFC-76A7-4A22-8F57-510FABA4B426}" destId="{E51F5A81-087F-4429-AF6F-2083F03AFA05}" srcOrd="0" destOrd="0" presId="urn:microsoft.com/office/officeart/2005/8/layout/hierarchy5"/>
    <dgm:cxn modelId="{505C1642-2F24-4A4E-9DB4-84D156DBB48C}" type="presParOf" srcId="{2552CDFC-76A7-4A22-8F57-510FABA4B426}" destId="{9F8906D4-6CA8-4CFE-8659-2176BFF9DA99}" srcOrd="1" destOrd="0" presId="urn:microsoft.com/office/officeart/2005/8/layout/hierarchy5"/>
    <dgm:cxn modelId="{B27724E6-194A-4177-9C6C-DF96578FBAFB}" type="presParOf" srcId="{9F8906D4-6CA8-4CFE-8659-2176BFF9DA99}" destId="{A06BBD84-2BD5-47AA-8DA4-D5BC89D40EDF}" srcOrd="0" destOrd="0" presId="urn:microsoft.com/office/officeart/2005/8/layout/hierarchy5"/>
    <dgm:cxn modelId="{18EB5C40-DAE3-40B4-8F13-054BC0252117}" type="presParOf" srcId="{A06BBD84-2BD5-47AA-8DA4-D5BC89D40EDF}" destId="{F7AE66CF-0141-4361-B2F7-A54E1BF11A19}" srcOrd="0" destOrd="0" presId="urn:microsoft.com/office/officeart/2005/8/layout/hierarchy5"/>
    <dgm:cxn modelId="{0690A473-902E-4D8C-99C5-D00E7CA340CF}" type="presParOf" srcId="{9F8906D4-6CA8-4CFE-8659-2176BFF9DA99}" destId="{0EA11F83-F5E9-4D42-B59B-22B3C875AFC5}" srcOrd="1" destOrd="0" presId="urn:microsoft.com/office/officeart/2005/8/layout/hierarchy5"/>
    <dgm:cxn modelId="{13C766D7-94B8-4B7E-898C-FD642B49FBB0}" type="presParOf" srcId="{0EA11F83-F5E9-4D42-B59B-22B3C875AFC5}" destId="{0C33464E-0F17-4F5A-8088-1173D00C0B52}" srcOrd="0" destOrd="0" presId="urn:microsoft.com/office/officeart/2005/8/layout/hierarchy5"/>
    <dgm:cxn modelId="{3D57DC0E-E6F7-443E-B978-BCE013ED7B2D}" type="presParOf" srcId="{0EA11F83-F5E9-4D42-B59B-22B3C875AFC5}" destId="{2D31B6BB-880B-4335-B6C4-81DC32837DE4}" srcOrd="1" destOrd="0" presId="urn:microsoft.com/office/officeart/2005/8/layout/hierarchy5"/>
    <dgm:cxn modelId="{4FA98F78-9AC6-4760-8CD0-CE72A2F8BD8C}" type="presParOf" srcId="{37F8F4E5-3114-4DA1-B0E4-463D49349A63}" destId="{0BAA4C06-8AAF-473F-A974-B50B33682FA4}" srcOrd="4" destOrd="0" presId="urn:microsoft.com/office/officeart/2005/8/layout/hierarchy5"/>
    <dgm:cxn modelId="{B97331D7-1C32-4E86-9AD9-F57E05F99EBD}" type="presParOf" srcId="{0BAA4C06-8AAF-473F-A974-B50B33682FA4}" destId="{3AC26F9E-FD97-4AFE-AE6D-E28B04645D69}" srcOrd="0" destOrd="0" presId="urn:microsoft.com/office/officeart/2005/8/layout/hierarchy5"/>
    <dgm:cxn modelId="{B77A3901-735D-4BC1-BAB3-AB2A62B77E78}" type="presParOf" srcId="{37F8F4E5-3114-4DA1-B0E4-463D49349A63}" destId="{F725AA7F-9F43-4E1E-AA04-C4916FC34CCE}" srcOrd="5" destOrd="0" presId="urn:microsoft.com/office/officeart/2005/8/layout/hierarchy5"/>
    <dgm:cxn modelId="{182505C0-365E-4090-9363-B06C49B98806}" type="presParOf" srcId="{F725AA7F-9F43-4E1E-AA04-C4916FC34CCE}" destId="{041C507A-4C72-48D6-9D15-7FDB8773A130}" srcOrd="0" destOrd="0" presId="urn:microsoft.com/office/officeart/2005/8/layout/hierarchy5"/>
    <dgm:cxn modelId="{87A0DCEF-C3A9-4A51-B9AE-C1ED458D670B}" type="presParOf" srcId="{F725AA7F-9F43-4E1E-AA04-C4916FC34CCE}" destId="{FCC9CB7E-E89C-4423-B847-4962759A1568}" srcOrd="1" destOrd="0" presId="urn:microsoft.com/office/officeart/2005/8/layout/hierarchy5"/>
    <dgm:cxn modelId="{4538CE0B-1186-4413-A04B-5080C697174A}" type="presParOf" srcId="{FCC9CB7E-E89C-4423-B847-4962759A1568}" destId="{C5937E6E-6D4D-4F4B-AACA-9185CD3A6C28}" srcOrd="0" destOrd="0" presId="urn:microsoft.com/office/officeart/2005/8/layout/hierarchy5"/>
    <dgm:cxn modelId="{1867BE41-6447-4939-98E3-D8D8B2EA5BB5}" type="presParOf" srcId="{C5937E6E-6D4D-4F4B-AACA-9185CD3A6C28}" destId="{5B9077EF-F14D-4D7E-B9A5-1E690B16F6BA}" srcOrd="0" destOrd="0" presId="urn:microsoft.com/office/officeart/2005/8/layout/hierarchy5"/>
    <dgm:cxn modelId="{C8B98607-9192-4CA7-9E58-CDF959E3B6A6}" type="presParOf" srcId="{FCC9CB7E-E89C-4423-B847-4962759A1568}" destId="{5EF1EBD5-5E5C-48B0-A4ED-A108A62A84CA}" srcOrd="1" destOrd="0" presId="urn:microsoft.com/office/officeart/2005/8/layout/hierarchy5"/>
    <dgm:cxn modelId="{1C62BE74-5808-4117-8F58-93F8DD8CC281}" type="presParOf" srcId="{5EF1EBD5-5E5C-48B0-A4ED-A108A62A84CA}" destId="{38943DD7-311D-4570-B066-E6FD3E6468C4}" srcOrd="0" destOrd="0" presId="urn:microsoft.com/office/officeart/2005/8/layout/hierarchy5"/>
    <dgm:cxn modelId="{B02F3ED4-8FDB-48CA-88BD-12C9D8E2F41B}" type="presParOf" srcId="{5EF1EBD5-5E5C-48B0-A4ED-A108A62A84CA}" destId="{A505DE1D-9BDD-4901-A9A2-D8880A4FC813}" srcOrd="1" destOrd="0" presId="urn:microsoft.com/office/officeart/2005/8/layout/hierarchy5"/>
    <dgm:cxn modelId="{5744C4F8-489E-4AEB-AD0A-E185106C0E5C}" type="presParOf" srcId="{37F8F4E5-3114-4DA1-B0E4-463D49349A63}" destId="{A6690199-C997-4781-9273-E814457E641D}" srcOrd="6" destOrd="0" presId="urn:microsoft.com/office/officeart/2005/8/layout/hierarchy5"/>
    <dgm:cxn modelId="{88D8558E-04CF-485D-9264-CF8037C25693}" type="presParOf" srcId="{A6690199-C997-4781-9273-E814457E641D}" destId="{3DAF66C8-B94A-4F3C-AE2E-CE67EDE41599}" srcOrd="0" destOrd="0" presId="urn:microsoft.com/office/officeart/2005/8/layout/hierarchy5"/>
    <dgm:cxn modelId="{158D079E-B568-4517-AFD9-DED7494ED6A3}" type="presParOf" srcId="{37F8F4E5-3114-4DA1-B0E4-463D49349A63}" destId="{62F0A60D-37C2-404B-AA62-ACE80B914EDC}" srcOrd="7" destOrd="0" presId="urn:microsoft.com/office/officeart/2005/8/layout/hierarchy5"/>
    <dgm:cxn modelId="{24196E31-7A79-4827-B627-1E1A5E1AF4AC}" type="presParOf" srcId="{62F0A60D-37C2-404B-AA62-ACE80B914EDC}" destId="{31D8E891-C037-4299-B2DA-2E293F5FC0E2}" srcOrd="0" destOrd="0" presId="urn:microsoft.com/office/officeart/2005/8/layout/hierarchy5"/>
    <dgm:cxn modelId="{D871FA5C-BB25-40D4-A2AD-794FA79F0DFE}" type="presParOf" srcId="{62F0A60D-37C2-404B-AA62-ACE80B914EDC}" destId="{56B7E223-B464-46BB-8DFD-BFF4FA837CA4}" srcOrd="1" destOrd="0" presId="urn:microsoft.com/office/officeart/2005/8/layout/hierarchy5"/>
    <dgm:cxn modelId="{C59B6D1A-8563-4BC5-8100-91EE355441C3}" type="presParOf" srcId="{56B7E223-B464-46BB-8DFD-BFF4FA837CA4}" destId="{B55A7E13-D8E9-422F-BE3B-6B4D5C58AD32}" srcOrd="0" destOrd="0" presId="urn:microsoft.com/office/officeart/2005/8/layout/hierarchy5"/>
    <dgm:cxn modelId="{66BF8BBD-BAF0-4716-9E84-171CF1F4CB35}" type="presParOf" srcId="{B55A7E13-D8E9-422F-BE3B-6B4D5C58AD32}" destId="{CDBE894C-751D-418A-AEC4-C7A4E09F01CF}" srcOrd="0" destOrd="0" presId="urn:microsoft.com/office/officeart/2005/8/layout/hierarchy5"/>
    <dgm:cxn modelId="{040BDA4E-DCB5-4815-BB19-DFC4845783E2}" type="presParOf" srcId="{56B7E223-B464-46BB-8DFD-BFF4FA837CA4}" destId="{B839C56C-83B9-4BF8-B65A-6E2A165AB195}" srcOrd="1" destOrd="0" presId="urn:microsoft.com/office/officeart/2005/8/layout/hierarchy5"/>
    <dgm:cxn modelId="{65C37F62-77C0-4EC0-B766-AC4630F9CD18}" type="presParOf" srcId="{B839C56C-83B9-4BF8-B65A-6E2A165AB195}" destId="{B9506D3D-1639-4409-900B-045125EA75F8}" srcOrd="0" destOrd="0" presId="urn:microsoft.com/office/officeart/2005/8/layout/hierarchy5"/>
    <dgm:cxn modelId="{F8E3AF66-F244-4A2B-B64F-DEE556DD72E0}" type="presParOf" srcId="{B839C56C-83B9-4BF8-B65A-6E2A165AB195}" destId="{C493B6A6-E7D7-4EA5-8FAE-6C1E5391609A}" srcOrd="1" destOrd="0" presId="urn:microsoft.com/office/officeart/2005/8/layout/hierarchy5"/>
    <dgm:cxn modelId="{491CDDDE-EDA3-414A-92B3-4FD0700C4525}" type="presParOf" srcId="{E20B93F4-5DC8-4440-9DCD-F5DA134D5BA9}" destId="{386F6729-ADEB-4690-AC51-AE758497DB09}" srcOrd="1" destOrd="0" presId="urn:microsoft.com/office/officeart/2005/8/layout/hierarchy5"/>
    <dgm:cxn modelId="{FE937FC0-3880-40CE-99FE-402E92B0CBB4}" type="presParOf" srcId="{386F6729-ADEB-4690-AC51-AE758497DB09}" destId="{633D16DB-D4EE-43F5-AED4-0E56CF70EAC0}" srcOrd="0" destOrd="0" presId="urn:microsoft.com/office/officeart/2005/8/layout/hierarchy5"/>
    <dgm:cxn modelId="{BB2E5435-E987-4189-BAB7-73846D5374A4}" type="presParOf" srcId="{633D16DB-D4EE-43F5-AED4-0E56CF70EAC0}" destId="{5853739F-5B39-4B0A-B6A0-0E8C08F96D01}" srcOrd="0" destOrd="0" presId="urn:microsoft.com/office/officeart/2005/8/layout/hierarchy5"/>
    <dgm:cxn modelId="{8054EFC5-A58C-4C3F-9AA5-BAF8D09F5E18}" type="presParOf" srcId="{633D16DB-D4EE-43F5-AED4-0E56CF70EAC0}" destId="{E098E4AA-798C-4C41-9724-12DCB176311B}" srcOrd="1" destOrd="0" presId="urn:microsoft.com/office/officeart/2005/8/layout/hierarchy5"/>
    <dgm:cxn modelId="{3AB084AF-9A98-4486-9FA4-476118C51DC9}" type="presParOf" srcId="{386F6729-ADEB-4690-AC51-AE758497DB09}" destId="{F4593E0F-8C4F-4011-B6AA-FBF3B1F78C78}" srcOrd="1" destOrd="0" presId="urn:microsoft.com/office/officeart/2005/8/layout/hierarchy5"/>
    <dgm:cxn modelId="{8C3EABE2-D264-4CF1-8096-50F90D299B92}" type="presParOf" srcId="{F4593E0F-8C4F-4011-B6AA-FBF3B1F78C78}" destId="{55242B1B-0F60-4F80-A6AC-7CB877434038}" srcOrd="0" destOrd="0" presId="urn:microsoft.com/office/officeart/2005/8/layout/hierarchy5"/>
    <dgm:cxn modelId="{33B97EEA-37CB-48F5-AD27-36FDDC4351CC}" type="presParOf" srcId="{386F6729-ADEB-4690-AC51-AE758497DB09}" destId="{576F2537-F525-4E23-9C16-D00E87C84F8C}" srcOrd="2" destOrd="0" presId="urn:microsoft.com/office/officeart/2005/8/layout/hierarchy5"/>
    <dgm:cxn modelId="{356922E7-0586-4326-A69F-CBFBC0A5B725}" type="presParOf" srcId="{576F2537-F525-4E23-9C16-D00E87C84F8C}" destId="{59732403-0095-49FE-B6B7-6A64B101C583}" srcOrd="0" destOrd="0" presId="urn:microsoft.com/office/officeart/2005/8/layout/hierarchy5"/>
    <dgm:cxn modelId="{7FC03645-733A-4C9D-B545-85FADB306D99}" type="presParOf" srcId="{576F2537-F525-4E23-9C16-D00E87C84F8C}" destId="{351ED100-6A09-4742-A835-B7064684BABF}" srcOrd="1" destOrd="0" presId="urn:microsoft.com/office/officeart/2005/8/layout/hierarchy5"/>
    <dgm:cxn modelId="{9E048869-7AF4-4730-8B36-D2F3BAB964B7}" type="presParOf" srcId="{386F6729-ADEB-4690-AC51-AE758497DB09}" destId="{FEC2BD11-95EC-48ED-91BE-3A1F2A2D5609}" srcOrd="3" destOrd="0" presId="urn:microsoft.com/office/officeart/2005/8/layout/hierarchy5"/>
    <dgm:cxn modelId="{0522B161-B4FD-4CDC-B041-E53D33C3C665}" type="presParOf" srcId="{FEC2BD11-95EC-48ED-91BE-3A1F2A2D5609}" destId="{EEC56BEA-9E68-409C-9434-C6D1DDD92303}" srcOrd="0" destOrd="0" presId="urn:microsoft.com/office/officeart/2005/8/layout/hierarchy5"/>
    <dgm:cxn modelId="{15C66A75-69E2-4B1D-A385-F69C3CEDEF31}" type="presParOf" srcId="{386F6729-ADEB-4690-AC51-AE758497DB09}" destId="{202A1709-0526-42F9-B572-F515CC2221C2}" srcOrd="4" destOrd="0" presId="urn:microsoft.com/office/officeart/2005/8/layout/hierarchy5"/>
    <dgm:cxn modelId="{5450CDC8-768C-443D-A9C5-8D728145B7DB}" type="presParOf" srcId="{202A1709-0526-42F9-B572-F515CC2221C2}" destId="{F1D1DD74-2EED-4D63-8C11-5D2AA97DD035}" srcOrd="0" destOrd="0" presId="urn:microsoft.com/office/officeart/2005/8/layout/hierarchy5"/>
    <dgm:cxn modelId="{CB344862-0753-49BC-91DA-20D5EFA587F7}" type="presParOf" srcId="{202A1709-0526-42F9-B572-F515CC2221C2}" destId="{D545C72D-A9EB-475C-BDCD-C897EED5E08C}" srcOrd="1" destOrd="0" presId="urn:microsoft.com/office/officeart/2005/8/layout/hierarchy5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3F96B515-9DA1-49E8-8ED0-1521B79D373C}" type="doc">
      <dgm:prSet loTypeId="urn:microsoft.com/office/officeart/2005/8/layout/hierarchy5" loCatId="hierarchy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BFFCEE8-C1EF-4ED6-BC76-DCE6A0700A75}">
      <dgm:prSet phldrT="[Text]" custT="1"/>
      <dgm:spPr/>
      <dgm:t>
        <a:bodyPr/>
        <a:lstStyle/>
        <a:p>
          <a:r>
            <a:rPr lang="ar-JO" sz="1100" b="1">
              <a:solidFill>
                <a:sysClr val="windowText" lastClr="000000"/>
              </a:solidFill>
            </a:rPr>
            <a:t>تطبيقات توصيل الطلبات</a:t>
          </a:r>
          <a:endParaRPr lang="en-US" sz="1100" b="1">
            <a:solidFill>
              <a:sysClr val="windowText" lastClr="000000"/>
            </a:solidFill>
          </a:endParaRPr>
        </a:p>
      </dgm:t>
    </dgm:pt>
    <dgm:pt modelId="{31E17A16-7D11-404B-98F0-AE2F92DEE14B}" type="parTrans" cxnId="{904E2842-42ED-44ED-859C-384F7DFCBC26}">
      <dgm:prSet/>
      <dgm:spPr/>
      <dgm:t>
        <a:bodyPr/>
        <a:lstStyle/>
        <a:p>
          <a:endParaRPr lang="en-US"/>
        </a:p>
      </dgm:t>
    </dgm:pt>
    <dgm:pt modelId="{1C5C2AA8-E096-4FDB-9D64-8A240D13E81E}" type="sibTrans" cxnId="{904E2842-42ED-44ED-859C-384F7DFCBC26}">
      <dgm:prSet/>
      <dgm:spPr/>
      <dgm:t>
        <a:bodyPr/>
        <a:lstStyle/>
        <a:p>
          <a:endParaRPr lang="en-US"/>
        </a:p>
      </dgm:t>
    </dgm:pt>
    <dgm:pt modelId="{291C0361-0081-4CBF-BCCD-A61163884D99}">
      <dgm:prSet phldrT="[Text]"/>
      <dgm:spPr>
        <a:solidFill>
          <a:srgbClr val="EE0000"/>
        </a:solidFill>
      </dgm:spPr>
      <dgm:t>
        <a:bodyPr/>
        <a:lstStyle/>
        <a:p>
          <a:r>
            <a:rPr lang="ar-JO" b="1"/>
            <a:t>السماحة</a:t>
          </a:r>
          <a:endParaRPr lang="en-US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4D46D60-D77B-4A45-BC91-56F557F140CE}" type="parTrans" cxnId="{9762429D-64D8-4D31-91F9-681031DA5451}">
      <dgm:prSet/>
      <dgm:spPr/>
      <dgm:t>
        <a:bodyPr/>
        <a:lstStyle/>
        <a:p>
          <a:endParaRPr lang="en-US"/>
        </a:p>
      </dgm:t>
    </dgm:pt>
    <dgm:pt modelId="{8ECFE82A-14E2-4137-AB93-F93D9A7B164A}" type="sibTrans" cxnId="{9762429D-64D8-4D31-91F9-681031DA5451}">
      <dgm:prSet/>
      <dgm:spPr/>
      <dgm:t>
        <a:bodyPr/>
        <a:lstStyle/>
        <a:p>
          <a:endParaRPr lang="en-US"/>
        </a:p>
      </dgm:t>
    </dgm:pt>
    <dgm:pt modelId="{879A99C7-AAF8-440A-8142-D951BE729E65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C8BF8F24-6DBA-4109-93C9-BCB245F13F4E}" type="parTrans" cxnId="{ADAD0D83-CA8C-4370-9279-30490C487E0B}">
      <dgm:prSet/>
      <dgm:spPr/>
      <dgm:t>
        <a:bodyPr/>
        <a:lstStyle/>
        <a:p>
          <a:endParaRPr lang="en-US"/>
        </a:p>
      </dgm:t>
    </dgm:pt>
    <dgm:pt modelId="{D82D63D3-00E8-45FF-839D-9CE8A76F79AA}" type="sibTrans" cxnId="{ADAD0D83-CA8C-4370-9279-30490C487E0B}">
      <dgm:prSet/>
      <dgm:spPr/>
      <dgm:t>
        <a:bodyPr/>
        <a:lstStyle/>
        <a:p>
          <a:endParaRPr lang="en-US"/>
        </a:p>
      </dgm:t>
    </dgm:pt>
    <dgm:pt modelId="{7ADA4105-9B3A-43A2-AEBC-7B54E5634C57}">
      <dgm:prSet phldrT="[Text]"/>
      <dgm:spPr/>
      <dgm:t>
        <a:bodyPr/>
        <a:lstStyle/>
        <a:p>
          <a:r>
            <a:rPr lang="ar-JO" b="1"/>
            <a:t>دار التمويل</a:t>
          </a:r>
          <a:endParaRPr lang="en-US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AF765479-F67A-42C2-9401-0FF05EC09ED4}" type="parTrans" cxnId="{36E54544-06F4-4E09-8819-8A9A60EA1214}">
      <dgm:prSet/>
      <dgm:spPr/>
      <dgm:t>
        <a:bodyPr/>
        <a:lstStyle/>
        <a:p>
          <a:endParaRPr lang="en-US"/>
        </a:p>
      </dgm:t>
    </dgm:pt>
    <dgm:pt modelId="{69D0C0CD-A492-4C46-BA5D-101F110F9A1A}" type="sibTrans" cxnId="{36E54544-06F4-4E09-8819-8A9A60EA1214}">
      <dgm:prSet/>
      <dgm:spPr/>
      <dgm:t>
        <a:bodyPr/>
        <a:lstStyle/>
        <a:p>
          <a:endParaRPr lang="en-US"/>
        </a:p>
      </dgm:t>
    </dgm:pt>
    <dgm:pt modelId="{DA0F9E65-CCD3-42FD-A490-60F6B86EC4B9}">
      <dgm:prSet phldrT="[Text]"/>
      <dgm:spPr/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97EAEF7-3B50-4A91-99A4-CA0F55F21673}" type="parTrans" cxnId="{379CF0A9-4143-4697-92BE-DEA22F938743}">
      <dgm:prSet/>
      <dgm:spPr/>
      <dgm:t>
        <a:bodyPr/>
        <a:lstStyle/>
        <a:p>
          <a:endParaRPr lang="en-US"/>
        </a:p>
      </dgm:t>
    </dgm:pt>
    <dgm:pt modelId="{65D0D0C7-524F-4DE1-A52B-6BDA9D2EB070}" type="sibTrans" cxnId="{379CF0A9-4143-4697-92BE-DEA22F938743}">
      <dgm:prSet/>
      <dgm:spPr/>
      <dgm:t>
        <a:bodyPr/>
        <a:lstStyle/>
        <a:p>
          <a:endParaRPr lang="en-US"/>
        </a:p>
      </dgm:t>
    </dgm:pt>
    <dgm:pt modelId="{867861A5-117E-48F6-B773-3AC04E2563A8}">
      <dgm:prSet phldrT="[Text]"/>
      <dgm:spPr/>
      <dgm:t>
        <a:bodyPr/>
        <a:lstStyle/>
        <a:p>
          <a:r>
            <a:rPr lang="ar-JO"/>
            <a:t>الحالة</a:t>
          </a:r>
          <a:endParaRPr lang="en-US"/>
        </a:p>
      </dgm:t>
    </dgm:pt>
    <dgm:pt modelId="{B3A34449-2601-4226-BC81-5D8827F65215}" type="parTrans" cxnId="{2977D996-DC7D-4341-8BB4-C26E91A243D5}">
      <dgm:prSet/>
      <dgm:spPr/>
      <dgm:t>
        <a:bodyPr/>
        <a:lstStyle/>
        <a:p>
          <a:endParaRPr lang="en-US"/>
        </a:p>
      </dgm:t>
    </dgm:pt>
    <dgm:pt modelId="{65E29C65-7114-4229-895D-FFD4E16162EF}" type="sibTrans" cxnId="{2977D996-DC7D-4341-8BB4-C26E91A243D5}">
      <dgm:prSet/>
      <dgm:spPr/>
      <dgm:t>
        <a:bodyPr/>
        <a:lstStyle/>
        <a:p>
          <a:endParaRPr lang="en-US"/>
        </a:p>
      </dgm:t>
    </dgm:pt>
    <dgm:pt modelId="{EB6FDAAE-DA2C-47B4-8DEB-7B2372792781}">
      <dgm:prSet phldrT="[Text]"/>
      <dgm:spPr/>
      <dgm:t>
        <a:bodyPr/>
        <a:lstStyle/>
        <a:p>
          <a:r>
            <a:rPr lang="ar-JO"/>
            <a:t>شركة التمويل</a:t>
          </a:r>
          <a:endParaRPr lang="en-US"/>
        </a:p>
      </dgm:t>
    </dgm:pt>
    <dgm:pt modelId="{CF1043E6-6B0A-4DB2-B3D5-6F102CE5696E}" type="parTrans" cxnId="{B7264BBC-3343-4C53-9554-C78F5C44FD0A}">
      <dgm:prSet/>
      <dgm:spPr/>
      <dgm:t>
        <a:bodyPr/>
        <a:lstStyle/>
        <a:p>
          <a:endParaRPr lang="en-US"/>
        </a:p>
      </dgm:t>
    </dgm:pt>
    <dgm:pt modelId="{1E01B6BB-BD18-45E6-887E-EBC776999C96}" type="sibTrans" cxnId="{B7264BBC-3343-4C53-9554-C78F5C44FD0A}">
      <dgm:prSet/>
      <dgm:spPr/>
      <dgm:t>
        <a:bodyPr/>
        <a:lstStyle/>
        <a:p>
          <a:endParaRPr lang="en-US"/>
        </a:p>
      </dgm:t>
    </dgm:pt>
    <dgm:pt modelId="{C31BC0AE-2541-450E-BE44-2618035CF8D4}">
      <dgm:prSet phldrT="[Text]"/>
      <dgm:spPr/>
      <dgm:t>
        <a:bodyPr/>
        <a:lstStyle/>
        <a:p>
          <a:r>
            <a:rPr lang="ar-JO"/>
            <a:t>قيمة التمويل</a:t>
          </a:r>
          <a:endParaRPr lang="en-US"/>
        </a:p>
      </dgm:t>
    </dgm:pt>
    <dgm:pt modelId="{D24D9539-971F-407C-84A3-ECF4A19BD77A}" type="parTrans" cxnId="{A040E479-5462-4856-B78B-D13B410E7B82}">
      <dgm:prSet/>
      <dgm:spPr/>
      <dgm:t>
        <a:bodyPr/>
        <a:lstStyle/>
        <a:p>
          <a:endParaRPr lang="en-US"/>
        </a:p>
      </dgm:t>
    </dgm:pt>
    <dgm:pt modelId="{E3A8B069-EE3A-45F8-8696-39433EB77321}" type="sibTrans" cxnId="{A040E479-5462-4856-B78B-D13B410E7B82}">
      <dgm:prSet/>
      <dgm:spPr/>
      <dgm:t>
        <a:bodyPr/>
        <a:lstStyle/>
        <a:p>
          <a:endParaRPr lang="en-US"/>
        </a:p>
      </dgm:t>
    </dgm:pt>
    <dgm:pt modelId="{E20B93F4-5DC8-4440-9DCD-F5DA134D5BA9}" type="pres">
      <dgm:prSet presAssocID="{3F96B515-9DA1-49E8-8ED0-1521B79D373C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A396D6BB-573C-4276-849B-DF5FCEBF4467}" type="pres">
      <dgm:prSet presAssocID="{3F96B515-9DA1-49E8-8ED0-1521B79D373C}" presName="hierFlow" presStyleCnt="0"/>
      <dgm:spPr/>
    </dgm:pt>
    <dgm:pt modelId="{013F9FCF-57B5-4ABA-A64E-0B27FBA7F702}" type="pres">
      <dgm:prSet presAssocID="{3F96B515-9DA1-49E8-8ED0-1521B79D373C}" presName="firstBuf" presStyleCnt="0"/>
      <dgm:spPr/>
    </dgm:pt>
    <dgm:pt modelId="{65165A0D-F288-4C97-AF71-32DA8F40E59E}" type="pres">
      <dgm:prSet presAssocID="{3F96B515-9DA1-49E8-8ED0-1521B79D373C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D122D0BC-3491-44C3-80AE-272C507C8D2B}" type="pres">
      <dgm:prSet presAssocID="{2BFFCEE8-C1EF-4ED6-BC76-DCE6A0700A75}" presName="Name17" presStyleCnt="0"/>
      <dgm:spPr/>
    </dgm:pt>
    <dgm:pt modelId="{7DA6821B-9231-44F2-B2E7-CD8100055D4C}" type="pres">
      <dgm:prSet presAssocID="{2BFFCEE8-C1EF-4ED6-BC76-DCE6A0700A75}" presName="level1Shape" presStyleLbl="node0" presStyleIdx="0" presStyleCnt="1">
        <dgm:presLayoutVars>
          <dgm:chPref val="3"/>
        </dgm:presLayoutVars>
      </dgm:prSet>
      <dgm:spPr/>
    </dgm:pt>
    <dgm:pt modelId="{37F8F4E5-3114-4DA1-B0E4-463D49349A63}" type="pres">
      <dgm:prSet presAssocID="{2BFFCEE8-C1EF-4ED6-BC76-DCE6A0700A75}" presName="hierChild2" presStyleCnt="0"/>
      <dgm:spPr/>
    </dgm:pt>
    <dgm:pt modelId="{D25DF05C-67FB-4983-A01B-C35F1734F8BA}" type="pres">
      <dgm:prSet presAssocID="{D4D46D60-D77B-4A45-BC91-56F557F140CE}" presName="Name25" presStyleLbl="parChTrans1D2" presStyleIdx="0" presStyleCnt="2"/>
      <dgm:spPr/>
    </dgm:pt>
    <dgm:pt modelId="{9206469B-A230-420E-A183-CFE95936140C}" type="pres">
      <dgm:prSet presAssocID="{D4D46D60-D77B-4A45-BC91-56F557F140CE}" presName="connTx" presStyleLbl="parChTrans1D2" presStyleIdx="0" presStyleCnt="2"/>
      <dgm:spPr/>
    </dgm:pt>
    <dgm:pt modelId="{5AA83151-E82B-4641-A759-33F507296828}" type="pres">
      <dgm:prSet presAssocID="{291C0361-0081-4CBF-BCCD-A61163884D99}" presName="Name30" presStyleCnt="0"/>
      <dgm:spPr/>
    </dgm:pt>
    <dgm:pt modelId="{22DE6E38-6284-4F96-8CA4-34BF4DA76247}" type="pres">
      <dgm:prSet presAssocID="{291C0361-0081-4CBF-BCCD-A61163884D99}" presName="level2Shape" presStyleLbl="node2" presStyleIdx="0" presStyleCnt="2"/>
      <dgm:spPr/>
    </dgm:pt>
    <dgm:pt modelId="{3DBDF957-7459-49E9-8CAA-744ADE169EBF}" type="pres">
      <dgm:prSet presAssocID="{291C0361-0081-4CBF-BCCD-A61163884D99}" presName="hierChild3" presStyleCnt="0"/>
      <dgm:spPr/>
    </dgm:pt>
    <dgm:pt modelId="{9F5D0CC9-33A5-4393-9516-87FB01DEDC55}" type="pres">
      <dgm:prSet presAssocID="{C8BF8F24-6DBA-4109-93C9-BCB245F13F4E}" presName="Name25" presStyleLbl="parChTrans1D3" presStyleIdx="0" presStyleCnt="2"/>
      <dgm:spPr/>
    </dgm:pt>
    <dgm:pt modelId="{1B772F9B-4553-4D9B-8D9E-43624ACE2CD2}" type="pres">
      <dgm:prSet presAssocID="{C8BF8F24-6DBA-4109-93C9-BCB245F13F4E}" presName="connTx" presStyleLbl="parChTrans1D3" presStyleIdx="0" presStyleCnt="2"/>
      <dgm:spPr/>
    </dgm:pt>
    <dgm:pt modelId="{7DFEB7BA-0E6F-4E19-AE2F-758222062860}" type="pres">
      <dgm:prSet presAssocID="{879A99C7-AAF8-440A-8142-D951BE729E65}" presName="Name30" presStyleCnt="0"/>
      <dgm:spPr/>
    </dgm:pt>
    <dgm:pt modelId="{EF6B63FC-5100-44CA-811F-55A3C426BF82}" type="pres">
      <dgm:prSet presAssocID="{879A99C7-AAF8-440A-8142-D951BE729E65}" presName="level2Shape" presStyleLbl="node3" presStyleIdx="0" presStyleCnt="2"/>
      <dgm:spPr/>
    </dgm:pt>
    <dgm:pt modelId="{5B00A7CB-7F7D-4F8A-990D-A425A6FC4296}" type="pres">
      <dgm:prSet presAssocID="{879A99C7-AAF8-440A-8142-D951BE729E65}" presName="hierChild3" presStyleCnt="0"/>
      <dgm:spPr/>
    </dgm:pt>
    <dgm:pt modelId="{DC28C3CC-328C-48DD-B9BE-20BBC3E6738F}" type="pres">
      <dgm:prSet presAssocID="{AF765479-F67A-42C2-9401-0FF05EC09ED4}" presName="Name25" presStyleLbl="parChTrans1D2" presStyleIdx="1" presStyleCnt="2"/>
      <dgm:spPr/>
    </dgm:pt>
    <dgm:pt modelId="{2571B053-4443-4C32-B1B7-789E7C36B0AB}" type="pres">
      <dgm:prSet presAssocID="{AF765479-F67A-42C2-9401-0FF05EC09ED4}" presName="connTx" presStyleLbl="parChTrans1D2" presStyleIdx="1" presStyleCnt="2"/>
      <dgm:spPr/>
    </dgm:pt>
    <dgm:pt modelId="{2552CDFC-76A7-4A22-8F57-510FABA4B426}" type="pres">
      <dgm:prSet presAssocID="{7ADA4105-9B3A-43A2-AEBC-7B54E5634C57}" presName="Name30" presStyleCnt="0"/>
      <dgm:spPr/>
    </dgm:pt>
    <dgm:pt modelId="{E51F5A81-087F-4429-AF6F-2083F03AFA05}" type="pres">
      <dgm:prSet presAssocID="{7ADA4105-9B3A-43A2-AEBC-7B54E5634C57}" presName="level2Shape" presStyleLbl="node2" presStyleIdx="1" presStyleCnt="2"/>
      <dgm:spPr/>
    </dgm:pt>
    <dgm:pt modelId="{9F8906D4-6CA8-4CFE-8659-2176BFF9DA99}" type="pres">
      <dgm:prSet presAssocID="{7ADA4105-9B3A-43A2-AEBC-7B54E5634C57}" presName="hierChild3" presStyleCnt="0"/>
      <dgm:spPr/>
    </dgm:pt>
    <dgm:pt modelId="{B55A7E13-D8E9-422F-BE3B-6B4D5C58AD32}" type="pres">
      <dgm:prSet presAssocID="{D97EAEF7-3B50-4A91-99A4-CA0F55F21673}" presName="Name25" presStyleLbl="parChTrans1D3" presStyleIdx="1" presStyleCnt="2"/>
      <dgm:spPr/>
    </dgm:pt>
    <dgm:pt modelId="{CDBE894C-751D-418A-AEC4-C7A4E09F01CF}" type="pres">
      <dgm:prSet presAssocID="{D97EAEF7-3B50-4A91-99A4-CA0F55F21673}" presName="connTx" presStyleLbl="parChTrans1D3" presStyleIdx="1" presStyleCnt="2"/>
      <dgm:spPr/>
    </dgm:pt>
    <dgm:pt modelId="{B839C56C-83B9-4BF8-B65A-6E2A165AB195}" type="pres">
      <dgm:prSet presAssocID="{DA0F9E65-CCD3-42FD-A490-60F6B86EC4B9}" presName="Name30" presStyleCnt="0"/>
      <dgm:spPr/>
    </dgm:pt>
    <dgm:pt modelId="{B9506D3D-1639-4409-900B-045125EA75F8}" type="pres">
      <dgm:prSet presAssocID="{DA0F9E65-CCD3-42FD-A490-60F6B86EC4B9}" presName="level2Shape" presStyleLbl="node3" presStyleIdx="1" presStyleCnt="2"/>
      <dgm:spPr/>
    </dgm:pt>
    <dgm:pt modelId="{C493B6A6-E7D7-4EA5-8FAE-6C1E5391609A}" type="pres">
      <dgm:prSet presAssocID="{DA0F9E65-CCD3-42FD-A490-60F6B86EC4B9}" presName="hierChild3" presStyleCnt="0"/>
      <dgm:spPr/>
    </dgm:pt>
    <dgm:pt modelId="{386F6729-ADEB-4690-AC51-AE758497DB09}" type="pres">
      <dgm:prSet presAssocID="{3F96B515-9DA1-49E8-8ED0-1521B79D373C}" presName="bgShapesFlow" presStyleCnt="0"/>
      <dgm:spPr/>
    </dgm:pt>
    <dgm:pt modelId="{633D16DB-D4EE-43F5-AED4-0E56CF70EAC0}" type="pres">
      <dgm:prSet presAssocID="{867861A5-117E-48F6-B773-3AC04E2563A8}" presName="rectComp" presStyleCnt="0"/>
      <dgm:spPr/>
    </dgm:pt>
    <dgm:pt modelId="{5853739F-5B39-4B0A-B6A0-0E8C08F96D01}" type="pres">
      <dgm:prSet presAssocID="{867861A5-117E-48F6-B773-3AC04E2563A8}" presName="bgRect" presStyleLbl="bgShp" presStyleIdx="0" presStyleCnt="3" custLinFactNeighborX="-54453" custLinFactNeighborY="-2381"/>
      <dgm:spPr/>
    </dgm:pt>
    <dgm:pt modelId="{E098E4AA-798C-4C41-9724-12DCB176311B}" type="pres">
      <dgm:prSet presAssocID="{867861A5-117E-48F6-B773-3AC04E2563A8}" presName="bgRectTx" presStyleLbl="bgShp" presStyleIdx="0" presStyleCnt="3">
        <dgm:presLayoutVars>
          <dgm:bulletEnabled val="1"/>
        </dgm:presLayoutVars>
      </dgm:prSet>
      <dgm:spPr/>
    </dgm:pt>
    <dgm:pt modelId="{F4593E0F-8C4F-4011-B6AA-FBF3B1F78C78}" type="pres">
      <dgm:prSet presAssocID="{867861A5-117E-48F6-B773-3AC04E2563A8}" presName="spComp" presStyleCnt="0"/>
      <dgm:spPr/>
    </dgm:pt>
    <dgm:pt modelId="{55242B1B-0F60-4F80-A6AC-7CB877434038}" type="pres">
      <dgm:prSet presAssocID="{867861A5-117E-48F6-B773-3AC04E2563A8}" presName="hSp" presStyleCnt="0"/>
      <dgm:spPr/>
    </dgm:pt>
    <dgm:pt modelId="{576F2537-F525-4E23-9C16-D00E87C84F8C}" type="pres">
      <dgm:prSet presAssocID="{EB6FDAAE-DA2C-47B4-8DEB-7B2372792781}" presName="rectComp" presStyleCnt="0"/>
      <dgm:spPr/>
    </dgm:pt>
    <dgm:pt modelId="{59732403-0095-49FE-B6B7-6A64B101C583}" type="pres">
      <dgm:prSet presAssocID="{EB6FDAAE-DA2C-47B4-8DEB-7B2372792781}" presName="bgRect" presStyleLbl="bgShp" presStyleIdx="1" presStyleCnt="3"/>
      <dgm:spPr/>
    </dgm:pt>
    <dgm:pt modelId="{351ED100-6A09-4742-A835-B7064684BABF}" type="pres">
      <dgm:prSet presAssocID="{EB6FDAAE-DA2C-47B4-8DEB-7B2372792781}" presName="bgRectTx" presStyleLbl="bgShp" presStyleIdx="1" presStyleCnt="3">
        <dgm:presLayoutVars>
          <dgm:bulletEnabled val="1"/>
        </dgm:presLayoutVars>
      </dgm:prSet>
      <dgm:spPr/>
    </dgm:pt>
    <dgm:pt modelId="{FEC2BD11-95EC-48ED-91BE-3A1F2A2D5609}" type="pres">
      <dgm:prSet presAssocID="{EB6FDAAE-DA2C-47B4-8DEB-7B2372792781}" presName="spComp" presStyleCnt="0"/>
      <dgm:spPr/>
    </dgm:pt>
    <dgm:pt modelId="{EEC56BEA-9E68-409C-9434-C6D1DDD92303}" type="pres">
      <dgm:prSet presAssocID="{EB6FDAAE-DA2C-47B4-8DEB-7B2372792781}" presName="hSp" presStyleCnt="0"/>
      <dgm:spPr/>
    </dgm:pt>
    <dgm:pt modelId="{202A1709-0526-42F9-B572-F515CC2221C2}" type="pres">
      <dgm:prSet presAssocID="{C31BC0AE-2541-450E-BE44-2618035CF8D4}" presName="rectComp" presStyleCnt="0"/>
      <dgm:spPr/>
    </dgm:pt>
    <dgm:pt modelId="{F1D1DD74-2EED-4D63-8C11-5D2AA97DD035}" type="pres">
      <dgm:prSet presAssocID="{C31BC0AE-2541-450E-BE44-2618035CF8D4}" presName="bgRect" presStyleLbl="bgShp" presStyleIdx="2" presStyleCnt="3" custLinFactNeighborX="18155"/>
      <dgm:spPr/>
    </dgm:pt>
    <dgm:pt modelId="{D545C72D-A9EB-475C-BDCD-C897EED5E08C}" type="pres">
      <dgm:prSet presAssocID="{C31BC0AE-2541-450E-BE44-2618035CF8D4}" presName="bgRectTx" presStyleLbl="bgShp" presStyleIdx="2" presStyleCnt="3">
        <dgm:presLayoutVars>
          <dgm:bulletEnabled val="1"/>
        </dgm:presLayoutVars>
      </dgm:prSet>
      <dgm:spPr/>
    </dgm:pt>
  </dgm:ptLst>
  <dgm:cxnLst>
    <dgm:cxn modelId="{DD463A0E-90BD-4AFC-A35E-688E798A6FF4}" type="presOf" srcId="{C31BC0AE-2541-450E-BE44-2618035CF8D4}" destId="{F1D1DD74-2EED-4D63-8C11-5D2AA97DD035}" srcOrd="0" destOrd="0" presId="urn:microsoft.com/office/officeart/2005/8/layout/hierarchy5"/>
    <dgm:cxn modelId="{506FFD0E-55CE-442F-B538-C224F655B738}" type="presOf" srcId="{AF765479-F67A-42C2-9401-0FF05EC09ED4}" destId="{DC28C3CC-328C-48DD-B9BE-20BBC3E6738F}" srcOrd="0" destOrd="0" presId="urn:microsoft.com/office/officeart/2005/8/layout/hierarchy5"/>
    <dgm:cxn modelId="{D79AF914-C11D-46A2-9264-AF18B6EDFA02}" type="presOf" srcId="{867861A5-117E-48F6-B773-3AC04E2563A8}" destId="{E098E4AA-798C-4C41-9724-12DCB176311B}" srcOrd="1" destOrd="0" presId="urn:microsoft.com/office/officeart/2005/8/layout/hierarchy5"/>
    <dgm:cxn modelId="{A10A2118-1DAE-40B5-BEAF-68FAAC7387BE}" type="presOf" srcId="{291C0361-0081-4CBF-BCCD-A61163884D99}" destId="{22DE6E38-6284-4F96-8CA4-34BF4DA76247}" srcOrd="0" destOrd="0" presId="urn:microsoft.com/office/officeart/2005/8/layout/hierarchy5"/>
    <dgm:cxn modelId="{AB262820-D28A-426C-8FA2-C08C2D0EB6FC}" type="presOf" srcId="{879A99C7-AAF8-440A-8142-D951BE729E65}" destId="{EF6B63FC-5100-44CA-811F-55A3C426BF82}" srcOrd="0" destOrd="0" presId="urn:microsoft.com/office/officeart/2005/8/layout/hierarchy5"/>
    <dgm:cxn modelId="{3A79E030-F6E2-4B71-AB2B-0C64AED272E1}" type="presOf" srcId="{867861A5-117E-48F6-B773-3AC04E2563A8}" destId="{5853739F-5B39-4B0A-B6A0-0E8C08F96D01}" srcOrd="0" destOrd="0" presId="urn:microsoft.com/office/officeart/2005/8/layout/hierarchy5"/>
    <dgm:cxn modelId="{904E2842-42ED-44ED-859C-384F7DFCBC26}" srcId="{3F96B515-9DA1-49E8-8ED0-1521B79D373C}" destId="{2BFFCEE8-C1EF-4ED6-BC76-DCE6A0700A75}" srcOrd="0" destOrd="0" parTransId="{31E17A16-7D11-404B-98F0-AE2F92DEE14B}" sibTransId="{1C5C2AA8-E096-4FDB-9D64-8A240D13E81E}"/>
    <dgm:cxn modelId="{78767D43-7DDE-482C-8BBA-E365D3196AB8}" type="presOf" srcId="{D4D46D60-D77B-4A45-BC91-56F557F140CE}" destId="{9206469B-A230-420E-A183-CFE95936140C}" srcOrd="1" destOrd="0" presId="urn:microsoft.com/office/officeart/2005/8/layout/hierarchy5"/>
    <dgm:cxn modelId="{36E54544-06F4-4E09-8819-8A9A60EA1214}" srcId="{2BFFCEE8-C1EF-4ED6-BC76-DCE6A0700A75}" destId="{7ADA4105-9B3A-43A2-AEBC-7B54E5634C57}" srcOrd="1" destOrd="0" parTransId="{AF765479-F67A-42C2-9401-0FF05EC09ED4}" sibTransId="{69D0C0CD-A492-4C46-BA5D-101F110F9A1A}"/>
    <dgm:cxn modelId="{9AAC506C-55CD-47E9-8C9F-9134BA012523}" type="presOf" srcId="{DA0F9E65-CCD3-42FD-A490-60F6B86EC4B9}" destId="{B9506D3D-1639-4409-900B-045125EA75F8}" srcOrd="0" destOrd="0" presId="urn:microsoft.com/office/officeart/2005/8/layout/hierarchy5"/>
    <dgm:cxn modelId="{C98CEC4E-0F4B-4A90-AE3A-EFB3E614AAA6}" type="presOf" srcId="{7ADA4105-9B3A-43A2-AEBC-7B54E5634C57}" destId="{E51F5A81-087F-4429-AF6F-2083F03AFA05}" srcOrd="0" destOrd="0" presId="urn:microsoft.com/office/officeart/2005/8/layout/hierarchy5"/>
    <dgm:cxn modelId="{38AD5E70-6E4F-4A10-A43B-830B04A1DF6B}" type="presOf" srcId="{D97EAEF7-3B50-4A91-99A4-CA0F55F21673}" destId="{B55A7E13-D8E9-422F-BE3B-6B4D5C58AD32}" srcOrd="0" destOrd="0" presId="urn:microsoft.com/office/officeart/2005/8/layout/hierarchy5"/>
    <dgm:cxn modelId="{AD257653-79E7-4F27-91F8-88E55B766C21}" type="presOf" srcId="{2BFFCEE8-C1EF-4ED6-BC76-DCE6A0700A75}" destId="{7DA6821B-9231-44F2-B2E7-CD8100055D4C}" srcOrd="0" destOrd="0" presId="urn:microsoft.com/office/officeart/2005/8/layout/hierarchy5"/>
    <dgm:cxn modelId="{AC9FC878-9A73-4D1D-9AAD-3EE3BC686765}" type="presOf" srcId="{AF765479-F67A-42C2-9401-0FF05EC09ED4}" destId="{2571B053-4443-4C32-B1B7-789E7C36B0AB}" srcOrd="1" destOrd="0" presId="urn:microsoft.com/office/officeart/2005/8/layout/hierarchy5"/>
    <dgm:cxn modelId="{A3E14679-590C-4C8F-A3DD-F4586360C9C7}" type="presOf" srcId="{3F96B515-9DA1-49E8-8ED0-1521B79D373C}" destId="{E20B93F4-5DC8-4440-9DCD-F5DA134D5BA9}" srcOrd="0" destOrd="0" presId="urn:microsoft.com/office/officeart/2005/8/layout/hierarchy5"/>
    <dgm:cxn modelId="{A040E479-5462-4856-B78B-D13B410E7B82}" srcId="{3F96B515-9DA1-49E8-8ED0-1521B79D373C}" destId="{C31BC0AE-2541-450E-BE44-2618035CF8D4}" srcOrd="3" destOrd="0" parTransId="{D24D9539-971F-407C-84A3-ECF4A19BD77A}" sibTransId="{E3A8B069-EE3A-45F8-8696-39433EB77321}"/>
    <dgm:cxn modelId="{8674AE7D-7808-4B2C-8981-EE5003F6999B}" type="presOf" srcId="{C8BF8F24-6DBA-4109-93C9-BCB245F13F4E}" destId="{9F5D0CC9-33A5-4393-9516-87FB01DEDC55}" srcOrd="0" destOrd="0" presId="urn:microsoft.com/office/officeart/2005/8/layout/hierarchy5"/>
    <dgm:cxn modelId="{ADAD0D83-CA8C-4370-9279-30490C487E0B}" srcId="{291C0361-0081-4CBF-BCCD-A61163884D99}" destId="{879A99C7-AAF8-440A-8142-D951BE729E65}" srcOrd="0" destOrd="0" parTransId="{C8BF8F24-6DBA-4109-93C9-BCB245F13F4E}" sibTransId="{D82D63D3-00E8-45FF-839D-9CE8A76F79AA}"/>
    <dgm:cxn modelId="{E0999788-056D-40D9-B081-5C68720A8B21}" type="presOf" srcId="{C8BF8F24-6DBA-4109-93C9-BCB245F13F4E}" destId="{1B772F9B-4553-4D9B-8D9E-43624ACE2CD2}" srcOrd="1" destOrd="0" presId="urn:microsoft.com/office/officeart/2005/8/layout/hierarchy5"/>
    <dgm:cxn modelId="{859E948A-2F74-425D-8D5C-506B02355736}" type="presOf" srcId="{C31BC0AE-2541-450E-BE44-2618035CF8D4}" destId="{D545C72D-A9EB-475C-BDCD-C897EED5E08C}" srcOrd="1" destOrd="0" presId="urn:microsoft.com/office/officeart/2005/8/layout/hierarchy5"/>
    <dgm:cxn modelId="{FD64E38C-FD37-48FD-9F44-1219978364DE}" type="presOf" srcId="{EB6FDAAE-DA2C-47B4-8DEB-7B2372792781}" destId="{351ED100-6A09-4742-A835-B7064684BABF}" srcOrd="1" destOrd="0" presId="urn:microsoft.com/office/officeart/2005/8/layout/hierarchy5"/>
    <dgm:cxn modelId="{1BD64593-B28D-4971-84A8-23AED96D7C83}" type="presOf" srcId="{D4D46D60-D77B-4A45-BC91-56F557F140CE}" destId="{D25DF05C-67FB-4983-A01B-C35F1734F8BA}" srcOrd="0" destOrd="0" presId="urn:microsoft.com/office/officeart/2005/8/layout/hierarchy5"/>
    <dgm:cxn modelId="{2977D996-DC7D-4341-8BB4-C26E91A243D5}" srcId="{3F96B515-9DA1-49E8-8ED0-1521B79D373C}" destId="{867861A5-117E-48F6-B773-3AC04E2563A8}" srcOrd="1" destOrd="0" parTransId="{B3A34449-2601-4226-BC81-5D8827F65215}" sibTransId="{65E29C65-7114-4229-895D-FFD4E16162EF}"/>
    <dgm:cxn modelId="{9762429D-64D8-4D31-91F9-681031DA5451}" srcId="{2BFFCEE8-C1EF-4ED6-BC76-DCE6A0700A75}" destId="{291C0361-0081-4CBF-BCCD-A61163884D99}" srcOrd="0" destOrd="0" parTransId="{D4D46D60-D77B-4A45-BC91-56F557F140CE}" sibTransId="{8ECFE82A-14E2-4137-AB93-F93D9A7B164A}"/>
    <dgm:cxn modelId="{2E7BF9A0-CC54-49A8-A002-B77C15F78A1B}" type="presOf" srcId="{D97EAEF7-3B50-4A91-99A4-CA0F55F21673}" destId="{CDBE894C-751D-418A-AEC4-C7A4E09F01CF}" srcOrd="1" destOrd="0" presId="urn:microsoft.com/office/officeart/2005/8/layout/hierarchy5"/>
    <dgm:cxn modelId="{379CF0A9-4143-4697-92BE-DEA22F938743}" srcId="{7ADA4105-9B3A-43A2-AEBC-7B54E5634C57}" destId="{DA0F9E65-CCD3-42FD-A490-60F6B86EC4B9}" srcOrd="0" destOrd="0" parTransId="{D97EAEF7-3B50-4A91-99A4-CA0F55F21673}" sibTransId="{65D0D0C7-524F-4DE1-A52B-6BDA9D2EB070}"/>
    <dgm:cxn modelId="{B7264BBC-3343-4C53-9554-C78F5C44FD0A}" srcId="{3F96B515-9DA1-49E8-8ED0-1521B79D373C}" destId="{EB6FDAAE-DA2C-47B4-8DEB-7B2372792781}" srcOrd="2" destOrd="0" parTransId="{CF1043E6-6B0A-4DB2-B3D5-6F102CE5696E}" sibTransId="{1E01B6BB-BD18-45E6-887E-EBC776999C96}"/>
    <dgm:cxn modelId="{AAAAD4EF-3958-459E-8A93-5D978F208876}" type="presOf" srcId="{EB6FDAAE-DA2C-47B4-8DEB-7B2372792781}" destId="{59732403-0095-49FE-B6B7-6A64B101C583}" srcOrd="0" destOrd="0" presId="urn:microsoft.com/office/officeart/2005/8/layout/hierarchy5"/>
    <dgm:cxn modelId="{2FF1FAD9-E3F8-4B6B-8ACE-5C39660A801E}" type="presParOf" srcId="{E20B93F4-5DC8-4440-9DCD-F5DA134D5BA9}" destId="{A396D6BB-573C-4276-849B-DF5FCEBF4467}" srcOrd="0" destOrd="0" presId="urn:microsoft.com/office/officeart/2005/8/layout/hierarchy5"/>
    <dgm:cxn modelId="{D2CE6869-A1A6-4961-AB6D-C388E29725AF}" type="presParOf" srcId="{A396D6BB-573C-4276-849B-DF5FCEBF4467}" destId="{013F9FCF-57B5-4ABA-A64E-0B27FBA7F702}" srcOrd="0" destOrd="0" presId="urn:microsoft.com/office/officeart/2005/8/layout/hierarchy5"/>
    <dgm:cxn modelId="{3F3F6B85-479B-4D53-A593-8C5AA08A12A3}" type="presParOf" srcId="{A396D6BB-573C-4276-849B-DF5FCEBF4467}" destId="{65165A0D-F288-4C97-AF71-32DA8F40E59E}" srcOrd="1" destOrd="0" presId="urn:microsoft.com/office/officeart/2005/8/layout/hierarchy5"/>
    <dgm:cxn modelId="{FF5AEBD2-A336-4A2A-B90A-46D7F3EF7374}" type="presParOf" srcId="{65165A0D-F288-4C97-AF71-32DA8F40E59E}" destId="{D122D0BC-3491-44C3-80AE-272C507C8D2B}" srcOrd="0" destOrd="0" presId="urn:microsoft.com/office/officeart/2005/8/layout/hierarchy5"/>
    <dgm:cxn modelId="{5E8C8DB1-475B-40A8-87FE-09B038A7B944}" type="presParOf" srcId="{D122D0BC-3491-44C3-80AE-272C507C8D2B}" destId="{7DA6821B-9231-44F2-B2E7-CD8100055D4C}" srcOrd="0" destOrd="0" presId="urn:microsoft.com/office/officeart/2005/8/layout/hierarchy5"/>
    <dgm:cxn modelId="{D39601C9-6F52-4C9D-8926-2BB35AEBE96E}" type="presParOf" srcId="{D122D0BC-3491-44C3-80AE-272C507C8D2B}" destId="{37F8F4E5-3114-4DA1-B0E4-463D49349A63}" srcOrd="1" destOrd="0" presId="urn:microsoft.com/office/officeart/2005/8/layout/hierarchy5"/>
    <dgm:cxn modelId="{BD095E41-76A4-49AE-9781-575DB0BB477A}" type="presParOf" srcId="{37F8F4E5-3114-4DA1-B0E4-463D49349A63}" destId="{D25DF05C-67FB-4983-A01B-C35F1734F8BA}" srcOrd="0" destOrd="0" presId="urn:microsoft.com/office/officeart/2005/8/layout/hierarchy5"/>
    <dgm:cxn modelId="{0B64A263-55CD-446B-B565-09854197E135}" type="presParOf" srcId="{D25DF05C-67FB-4983-A01B-C35F1734F8BA}" destId="{9206469B-A230-420E-A183-CFE95936140C}" srcOrd="0" destOrd="0" presId="urn:microsoft.com/office/officeart/2005/8/layout/hierarchy5"/>
    <dgm:cxn modelId="{6DE1ED33-14D4-4BAF-821F-A8D0F53E7454}" type="presParOf" srcId="{37F8F4E5-3114-4DA1-B0E4-463D49349A63}" destId="{5AA83151-E82B-4641-A759-33F507296828}" srcOrd="1" destOrd="0" presId="urn:microsoft.com/office/officeart/2005/8/layout/hierarchy5"/>
    <dgm:cxn modelId="{9516FCE5-5D1E-47A6-9691-9DF6ACD4D120}" type="presParOf" srcId="{5AA83151-E82B-4641-A759-33F507296828}" destId="{22DE6E38-6284-4F96-8CA4-34BF4DA76247}" srcOrd="0" destOrd="0" presId="urn:microsoft.com/office/officeart/2005/8/layout/hierarchy5"/>
    <dgm:cxn modelId="{2E45436A-5D14-40E3-B25B-CA1B124B71F8}" type="presParOf" srcId="{5AA83151-E82B-4641-A759-33F507296828}" destId="{3DBDF957-7459-49E9-8CAA-744ADE169EBF}" srcOrd="1" destOrd="0" presId="urn:microsoft.com/office/officeart/2005/8/layout/hierarchy5"/>
    <dgm:cxn modelId="{D7AEDF70-0247-42CB-BE8A-E78B1BDFE754}" type="presParOf" srcId="{3DBDF957-7459-49E9-8CAA-744ADE169EBF}" destId="{9F5D0CC9-33A5-4393-9516-87FB01DEDC55}" srcOrd="0" destOrd="0" presId="urn:microsoft.com/office/officeart/2005/8/layout/hierarchy5"/>
    <dgm:cxn modelId="{DC398625-697D-415C-8CBD-F8C653352845}" type="presParOf" srcId="{9F5D0CC9-33A5-4393-9516-87FB01DEDC55}" destId="{1B772F9B-4553-4D9B-8D9E-43624ACE2CD2}" srcOrd="0" destOrd="0" presId="urn:microsoft.com/office/officeart/2005/8/layout/hierarchy5"/>
    <dgm:cxn modelId="{B297F0B6-D982-475C-895C-FFD33AA90FF4}" type="presParOf" srcId="{3DBDF957-7459-49E9-8CAA-744ADE169EBF}" destId="{7DFEB7BA-0E6F-4E19-AE2F-758222062860}" srcOrd="1" destOrd="0" presId="urn:microsoft.com/office/officeart/2005/8/layout/hierarchy5"/>
    <dgm:cxn modelId="{FD911C30-02F4-4DA8-846E-364D20F8F9BD}" type="presParOf" srcId="{7DFEB7BA-0E6F-4E19-AE2F-758222062860}" destId="{EF6B63FC-5100-44CA-811F-55A3C426BF82}" srcOrd="0" destOrd="0" presId="urn:microsoft.com/office/officeart/2005/8/layout/hierarchy5"/>
    <dgm:cxn modelId="{330DE89F-6D99-452E-9EB4-76F93647A646}" type="presParOf" srcId="{7DFEB7BA-0E6F-4E19-AE2F-758222062860}" destId="{5B00A7CB-7F7D-4F8A-990D-A425A6FC4296}" srcOrd="1" destOrd="0" presId="urn:microsoft.com/office/officeart/2005/8/layout/hierarchy5"/>
    <dgm:cxn modelId="{6E8E242B-3930-4091-898F-3BA2F1A3D3B5}" type="presParOf" srcId="{37F8F4E5-3114-4DA1-B0E4-463D49349A63}" destId="{DC28C3CC-328C-48DD-B9BE-20BBC3E6738F}" srcOrd="2" destOrd="0" presId="urn:microsoft.com/office/officeart/2005/8/layout/hierarchy5"/>
    <dgm:cxn modelId="{516200C3-8347-4E8A-AD0E-AE82DE48E7B9}" type="presParOf" srcId="{DC28C3CC-328C-48DD-B9BE-20BBC3E6738F}" destId="{2571B053-4443-4C32-B1B7-789E7C36B0AB}" srcOrd="0" destOrd="0" presId="urn:microsoft.com/office/officeart/2005/8/layout/hierarchy5"/>
    <dgm:cxn modelId="{38D941A8-47E6-4B6D-9FAE-52B7EEE75301}" type="presParOf" srcId="{37F8F4E5-3114-4DA1-B0E4-463D49349A63}" destId="{2552CDFC-76A7-4A22-8F57-510FABA4B426}" srcOrd="3" destOrd="0" presId="urn:microsoft.com/office/officeart/2005/8/layout/hierarchy5"/>
    <dgm:cxn modelId="{03D79DCB-45CE-468D-99F9-A1D7A4384960}" type="presParOf" srcId="{2552CDFC-76A7-4A22-8F57-510FABA4B426}" destId="{E51F5A81-087F-4429-AF6F-2083F03AFA05}" srcOrd="0" destOrd="0" presId="urn:microsoft.com/office/officeart/2005/8/layout/hierarchy5"/>
    <dgm:cxn modelId="{505C1642-2F24-4A4E-9DB4-84D156DBB48C}" type="presParOf" srcId="{2552CDFC-76A7-4A22-8F57-510FABA4B426}" destId="{9F8906D4-6CA8-4CFE-8659-2176BFF9DA99}" srcOrd="1" destOrd="0" presId="urn:microsoft.com/office/officeart/2005/8/layout/hierarchy5"/>
    <dgm:cxn modelId="{EC51E2AF-E3F4-4B45-8345-0D38BAC6DF9B}" type="presParOf" srcId="{9F8906D4-6CA8-4CFE-8659-2176BFF9DA99}" destId="{B55A7E13-D8E9-422F-BE3B-6B4D5C58AD32}" srcOrd="0" destOrd="0" presId="urn:microsoft.com/office/officeart/2005/8/layout/hierarchy5"/>
    <dgm:cxn modelId="{63232DF1-855C-46C5-BEA0-A67E344DE631}" type="presParOf" srcId="{B55A7E13-D8E9-422F-BE3B-6B4D5C58AD32}" destId="{CDBE894C-751D-418A-AEC4-C7A4E09F01CF}" srcOrd="0" destOrd="0" presId="urn:microsoft.com/office/officeart/2005/8/layout/hierarchy5"/>
    <dgm:cxn modelId="{9E2BE741-5003-4C3C-A221-7F54098D663A}" type="presParOf" srcId="{9F8906D4-6CA8-4CFE-8659-2176BFF9DA99}" destId="{B839C56C-83B9-4BF8-B65A-6E2A165AB195}" srcOrd="1" destOrd="0" presId="urn:microsoft.com/office/officeart/2005/8/layout/hierarchy5"/>
    <dgm:cxn modelId="{76AEE8A0-40A9-4856-BB91-EC20095E3449}" type="presParOf" srcId="{B839C56C-83B9-4BF8-B65A-6E2A165AB195}" destId="{B9506D3D-1639-4409-900B-045125EA75F8}" srcOrd="0" destOrd="0" presId="urn:microsoft.com/office/officeart/2005/8/layout/hierarchy5"/>
    <dgm:cxn modelId="{7EDB9DD2-5030-49BE-9199-C3288345F136}" type="presParOf" srcId="{B839C56C-83B9-4BF8-B65A-6E2A165AB195}" destId="{C493B6A6-E7D7-4EA5-8FAE-6C1E5391609A}" srcOrd="1" destOrd="0" presId="urn:microsoft.com/office/officeart/2005/8/layout/hierarchy5"/>
    <dgm:cxn modelId="{491CDDDE-EDA3-414A-92B3-4FD0700C4525}" type="presParOf" srcId="{E20B93F4-5DC8-4440-9DCD-F5DA134D5BA9}" destId="{386F6729-ADEB-4690-AC51-AE758497DB09}" srcOrd="1" destOrd="0" presId="urn:microsoft.com/office/officeart/2005/8/layout/hierarchy5"/>
    <dgm:cxn modelId="{FE937FC0-3880-40CE-99FE-402E92B0CBB4}" type="presParOf" srcId="{386F6729-ADEB-4690-AC51-AE758497DB09}" destId="{633D16DB-D4EE-43F5-AED4-0E56CF70EAC0}" srcOrd="0" destOrd="0" presId="urn:microsoft.com/office/officeart/2005/8/layout/hierarchy5"/>
    <dgm:cxn modelId="{BB2E5435-E987-4189-BAB7-73846D5374A4}" type="presParOf" srcId="{633D16DB-D4EE-43F5-AED4-0E56CF70EAC0}" destId="{5853739F-5B39-4B0A-B6A0-0E8C08F96D01}" srcOrd="0" destOrd="0" presId="urn:microsoft.com/office/officeart/2005/8/layout/hierarchy5"/>
    <dgm:cxn modelId="{8054EFC5-A58C-4C3F-9AA5-BAF8D09F5E18}" type="presParOf" srcId="{633D16DB-D4EE-43F5-AED4-0E56CF70EAC0}" destId="{E098E4AA-798C-4C41-9724-12DCB176311B}" srcOrd="1" destOrd="0" presId="urn:microsoft.com/office/officeart/2005/8/layout/hierarchy5"/>
    <dgm:cxn modelId="{3AB084AF-9A98-4486-9FA4-476118C51DC9}" type="presParOf" srcId="{386F6729-ADEB-4690-AC51-AE758497DB09}" destId="{F4593E0F-8C4F-4011-B6AA-FBF3B1F78C78}" srcOrd="1" destOrd="0" presId="urn:microsoft.com/office/officeart/2005/8/layout/hierarchy5"/>
    <dgm:cxn modelId="{8C3EABE2-D264-4CF1-8096-50F90D299B92}" type="presParOf" srcId="{F4593E0F-8C4F-4011-B6AA-FBF3B1F78C78}" destId="{55242B1B-0F60-4F80-A6AC-7CB877434038}" srcOrd="0" destOrd="0" presId="urn:microsoft.com/office/officeart/2005/8/layout/hierarchy5"/>
    <dgm:cxn modelId="{33B97EEA-37CB-48F5-AD27-36FDDC4351CC}" type="presParOf" srcId="{386F6729-ADEB-4690-AC51-AE758497DB09}" destId="{576F2537-F525-4E23-9C16-D00E87C84F8C}" srcOrd="2" destOrd="0" presId="urn:microsoft.com/office/officeart/2005/8/layout/hierarchy5"/>
    <dgm:cxn modelId="{356922E7-0586-4326-A69F-CBFBC0A5B725}" type="presParOf" srcId="{576F2537-F525-4E23-9C16-D00E87C84F8C}" destId="{59732403-0095-49FE-B6B7-6A64B101C583}" srcOrd="0" destOrd="0" presId="urn:microsoft.com/office/officeart/2005/8/layout/hierarchy5"/>
    <dgm:cxn modelId="{7FC03645-733A-4C9D-B545-85FADB306D99}" type="presParOf" srcId="{576F2537-F525-4E23-9C16-D00E87C84F8C}" destId="{351ED100-6A09-4742-A835-B7064684BABF}" srcOrd="1" destOrd="0" presId="urn:microsoft.com/office/officeart/2005/8/layout/hierarchy5"/>
    <dgm:cxn modelId="{9E048869-7AF4-4730-8B36-D2F3BAB964B7}" type="presParOf" srcId="{386F6729-ADEB-4690-AC51-AE758497DB09}" destId="{FEC2BD11-95EC-48ED-91BE-3A1F2A2D5609}" srcOrd="3" destOrd="0" presId="urn:microsoft.com/office/officeart/2005/8/layout/hierarchy5"/>
    <dgm:cxn modelId="{0522B161-B4FD-4CDC-B041-E53D33C3C665}" type="presParOf" srcId="{FEC2BD11-95EC-48ED-91BE-3A1F2A2D5609}" destId="{EEC56BEA-9E68-409C-9434-C6D1DDD92303}" srcOrd="0" destOrd="0" presId="urn:microsoft.com/office/officeart/2005/8/layout/hierarchy5"/>
    <dgm:cxn modelId="{15C66A75-69E2-4B1D-A385-F69C3CEDEF31}" type="presParOf" srcId="{386F6729-ADEB-4690-AC51-AE758497DB09}" destId="{202A1709-0526-42F9-B572-F515CC2221C2}" srcOrd="4" destOrd="0" presId="urn:microsoft.com/office/officeart/2005/8/layout/hierarchy5"/>
    <dgm:cxn modelId="{5450CDC8-768C-443D-A9C5-8D728145B7DB}" type="presParOf" srcId="{202A1709-0526-42F9-B572-F515CC2221C2}" destId="{F1D1DD74-2EED-4D63-8C11-5D2AA97DD035}" srcOrd="0" destOrd="0" presId="urn:microsoft.com/office/officeart/2005/8/layout/hierarchy5"/>
    <dgm:cxn modelId="{CB344862-0753-49BC-91DA-20D5EFA587F7}" type="presParOf" srcId="{202A1709-0526-42F9-B572-F515CC2221C2}" destId="{D545C72D-A9EB-475C-BDCD-C897EED5E08C}" srcOrd="1" destOrd="0" presId="urn:microsoft.com/office/officeart/2005/8/layout/hierarchy5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1D1DD74-2EED-4D63-8C11-5D2AA97DD035}">
      <dsp:nvSpPr>
        <dsp:cNvPr id="0" name=""/>
        <dsp:cNvSpPr/>
      </dsp:nvSpPr>
      <dsp:spPr>
        <a:xfrm>
          <a:off x="2797194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قيمة التمويل</a:t>
          </a:r>
          <a:endParaRPr lang="en-US" sz="2300" kern="1200"/>
        </a:p>
      </dsp:txBody>
      <dsp:txXfrm>
        <a:off x="2797194" y="0"/>
        <a:ext cx="1138267" cy="960120"/>
      </dsp:txXfrm>
    </dsp:sp>
    <dsp:sp modelId="{59732403-0095-49FE-B6B7-6A64B101C583}">
      <dsp:nvSpPr>
        <dsp:cNvPr id="0" name=""/>
        <dsp:cNvSpPr/>
      </dsp:nvSpPr>
      <dsp:spPr>
        <a:xfrm>
          <a:off x="1469216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شركة التمويل</a:t>
          </a:r>
          <a:endParaRPr lang="en-US" sz="2300" kern="1200"/>
        </a:p>
      </dsp:txBody>
      <dsp:txXfrm>
        <a:off x="1469216" y="0"/>
        <a:ext cx="1138267" cy="960120"/>
      </dsp:txXfrm>
    </dsp:sp>
    <dsp:sp modelId="{5853739F-5B39-4B0A-B6A0-0E8C08F96D01}">
      <dsp:nvSpPr>
        <dsp:cNvPr id="0" name=""/>
        <dsp:cNvSpPr/>
      </dsp:nvSpPr>
      <dsp:spPr>
        <a:xfrm>
          <a:off x="119975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الحالة</a:t>
          </a:r>
          <a:endParaRPr lang="en-US" sz="2300" kern="1200"/>
        </a:p>
      </dsp:txBody>
      <dsp:txXfrm>
        <a:off x="119975" y="0"/>
        <a:ext cx="1138267" cy="960120"/>
      </dsp:txXfrm>
    </dsp:sp>
    <dsp:sp modelId="{7DA6821B-9231-44F2-B2E7-CD8100055D4C}">
      <dsp:nvSpPr>
        <dsp:cNvPr id="0" name=""/>
        <dsp:cNvSpPr/>
      </dsp:nvSpPr>
      <dsp:spPr>
        <a:xfrm>
          <a:off x="236093" y="1779112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>
              <a:solidFill>
                <a:sysClr val="windowText" lastClr="000000"/>
              </a:solidFill>
            </a:rPr>
            <a:t>ضمان وكشف راتب</a:t>
          </a:r>
          <a:endParaRPr lang="en-US" sz="1500" kern="1200">
            <a:solidFill>
              <a:sysClr val="windowText" lastClr="000000"/>
            </a:solidFill>
          </a:endParaRPr>
        </a:p>
      </dsp:txBody>
      <dsp:txXfrm>
        <a:off x="249984" y="1793003"/>
        <a:ext cx="920774" cy="446496"/>
      </dsp:txXfrm>
    </dsp:sp>
    <dsp:sp modelId="{D25DF05C-67FB-4983-A01B-C35F1734F8BA}">
      <dsp:nvSpPr>
        <dsp:cNvPr id="0" name=""/>
        <dsp:cNvSpPr/>
      </dsp:nvSpPr>
      <dsp:spPr>
        <a:xfrm rot="17692822">
          <a:off x="923445" y="1593849"/>
          <a:ext cx="90183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90183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51815" y="1584641"/>
        <a:ext cx="45091" cy="45091"/>
      </dsp:txXfrm>
    </dsp:sp>
    <dsp:sp modelId="{22DE6E38-6284-4F96-8CA4-34BF4DA76247}">
      <dsp:nvSpPr>
        <dsp:cNvPr id="0" name=""/>
        <dsp:cNvSpPr/>
      </dsp:nvSpPr>
      <dsp:spPr>
        <a:xfrm>
          <a:off x="1564071" y="960983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دار التمويل</a:t>
          </a:r>
          <a:endParaRPr lang="en-US" sz="1500" kern="1200"/>
        </a:p>
      </dsp:txBody>
      <dsp:txXfrm>
        <a:off x="1577962" y="974874"/>
        <a:ext cx="920774" cy="446496"/>
      </dsp:txXfrm>
    </dsp:sp>
    <dsp:sp modelId="{9F5D0CC9-33A5-4393-9516-87FB01DEDC55}">
      <dsp:nvSpPr>
        <dsp:cNvPr id="0" name=""/>
        <dsp:cNvSpPr/>
      </dsp:nvSpPr>
      <dsp:spPr>
        <a:xfrm rot="102034">
          <a:off x="2512549" y="1190101"/>
          <a:ext cx="358313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58313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82748" y="1194481"/>
        <a:ext cx="17915" cy="17915"/>
      </dsp:txXfrm>
    </dsp:sp>
    <dsp:sp modelId="{EF6B63FC-5100-44CA-811F-55A3C426BF82}">
      <dsp:nvSpPr>
        <dsp:cNvPr id="0" name=""/>
        <dsp:cNvSpPr/>
      </dsp:nvSpPr>
      <dsp:spPr>
        <a:xfrm>
          <a:off x="2870783" y="971616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884674" y="985507"/>
        <a:ext cx="920774" cy="446496"/>
      </dsp:txXfrm>
    </dsp:sp>
    <dsp:sp modelId="{DC28C3CC-328C-48DD-B9BE-20BBC3E6738F}">
      <dsp:nvSpPr>
        <dsp:cNvPr id="0" name=""/>
        <dsp:cNvSpPr/>
      </dsp:nvSpPr>
      <dsp:spPr>
        <a:xfrm rot="19457599">
          <a:off x="1140730" y="1866559"/>
          <a:ext cx="46726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46726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62679" y="1868215"/>
        <a:ext cx="23363" cy="23363"/>
      </dsp:txXfrm>
    </dsp:sp>
    <dsp:sp modelId="{E51F5A81-087F-4429-AF6F-2083F03AFA05}">
      <dsp:nvSpPr>
        <dsp:cNvPr id="0" name=""/>
        <dsp:cNvSpPr/>
      </dsp:nvSpPr>
      <dsp:spPr>
        <a:xfrm>
          <a:off x="1564071" y="1506403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تمكين</a:t>
          </a:r>
          <a:endParaRPr lang="en-US" sz="1500" kern="1200"/>
        </a:p>
      </dsp:txBody>
      <dsp:txXfrm>
        <a:off x="1577962" y="1520294"/>
        <a:ext cx="920774" cy="446496"/>
      </dsp:txXfrm>
    </dsp:sp>
    <dsp:sp modelId="{A06BBD84-2BD5-47AA-8DA4-D5BC89D40EDF}">
      <dsp:nvSpPr>
        <dsp:cNvPr id="0" name=""/>
        <dsp:cNvSpPr/>
      </dsp:nvSpPr>
      <dsp:spPr>
        <a:xfrm>
          <a:off x="2512628" y="1730204"/>
          <a:ext cx="379422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79422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92853" y="1734056"/>
        <a:ext cx="18971" cy="18971"/>
      </dsp:txXfrm>
    </dsp:sp>
    <dsp:sp modelId="{0C33464E-0F17-4F5A-8088-1173D00C0B52}">
      <dsp:nvSpPr>
        <dsp:cNvPr id="0" name=""/>
        <dsp:cNvSpPr/>
      </dsp:nvSpPr>
      <dsp:spPr>
        <a:xfrm>
          <a:off x="2892050" y="1506403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905941" y="1520294"/>
        <a:ext cx="920774" cy="446496"/>
      </dsp:txXfrm>
    </dsp:sp>
    <dsp:sp modelId="{0BAA4C06-8AAF-473F-A974-B50B33682FA4}">
      <dsp:nvSpPr>
        <dsp:cNvPr id="0" name=""/>
        <dsp:cNvSpPr/>
      </dsp:nvSpPr>
      <dsp:spPr>
        <a:xfrm rot="2142401">
          <a:off x="1140730" y="2139269"/>
          <a:ext cx="46726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46726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62679" y="2140925"/>
        <a:ext cx="23363" cy="23363"/>
      </dsp:txXfrm>
    </dsp:sp>
    <dsp:sp modelId="{041C507A-4C72-48D6-9D15-7FDB8773A130}">
      <dsp:nvSpPr>
        <dsp:cNvPr id="0" name=""/>
        <dsp:cNvSpPr/>
      </dsp:nvSpPr>
      <dsp:spPr>
        <a:xfrm>
          <a:off x="1564071" y="2051822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الكوثر</a:t>
          </a:r>
          <a:endParaRPr lang="en-US" sz="1500" kern="1200"/>
        </a:p>
      </dsp:txBody>
      <dsp:txXfrm>
        <a:off x="1577962" y="2065713"/>
        <a:ext cx="920774" cy="446496"/>
      </dsp:txXfrm>
    </dsp:sp>
    <dsp:sp modelId="{C5937E6E-6D4D-4F4B-AACA-9185CD3A6C28}">
      <dsp:nvSpPr>
        <dsp:cNvPr id="0" name=""/>
        <dsp:cNvSpPr/>
      </dsp:nvSpPr>
      <dsp:spPr>
        <a:xfrm>
          <a:off x="2512628" y="2275624"/>
          <a:ext cx="379422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79422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92853" y="2279476"/>
        <a:ext cx="18971" cy="18971"/>
      </dsp:txXfrm>
    </dsp:sp>
    <dsp:sp modelId="{38943DD7-311D-4570-B066-E6FD3E6468C4}">
      <dsp:nvSpPr>
        <dsp:cNvPr id="0" name=""/>
        <dsp:cNvSpPr/>
      </dsp:nvSpPr>
      <dsp:spPr>
        <a:xfrm>
          <a:off x="2892050" y="2051822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905941" y="2065713"/>
        <a:ext cx="920774" cy="446496"/>
      </dsp:txXfrm>
    </dsp:sp>
    <dsp:sp modelId="{A6690199-C997-4781-9273-E814457E641D}">
      <dsp:nvSpPr>
        <dsp:cNvPr id="0" name=""/>
        <dsp:cNvSpPr/>
      </dsp:nvSpPr>
      <dsp:spPr>
        <a:xfrm rot="3907178">
          <a:off x="923445" y="2411979"/>
          <a:ext cx="90183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90183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51815" y="2402771"/>
        <a:ext cx="45091" cy="45091"/>
      </dsp:txXfrm>
    </dsp:sp>
    <dsp:sp modelId="{31D8E891-C037-4299-B2DA-2E293F5FC0E2}">
      <dsp:nvSpPr>
        <dsp:cNvPr id="0" name=""/>
        <dsp:cNvSpPr/>
      </dsp:nvSpPr>
      <dsp:spPr>
        <a:xfrm>
          <a:off x="1564071" y="2597242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السماحة</a:t>
          </a:r>
          <a:endParaRPr lang="en-US" sz="1500" kern="1200"/>
        </a:p>
      </dsp:txBody>
      <dsp:txXfrm>
        <a:off x="1577962" y="2611133"/>
        <a:ext cx="920774" cy="446496"/>
      </dsp:txXfrm>
    </dsp:sp>
    <dsp:sp modelId="{B55A7E13-D8E9-422F-BE3B-6B4D5C58AD32}">
      <dsp:nvSpPr>
        <dsp:cNvPr id="0" name=""/>
        <dsp:cNvSpPr/>
      </dsp:nvSpPr>
      <dsp:spPr>
        <a:xfrm rot="21497966">
          <a:off x="2512549" y="2815727"/>
          <a:ext cx="358313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58313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82748" y="2820107"/>
        <a:ext cx="17915" cy="17915"/>
      </dsp:txXfrm>
    </dsp:sp>
    <dsp:sp modelId="{B9506D3D-1639-4409-900B-045125EA75F8}">
      <dsp:nvSpPr>
        <dsp:cNvPr id="0" name=""/>
        <dsp:cNvSpPr/>
      </dsp:nvSpPr>
      <dsp:spPr>
        <a:xfrm>
          <a:off x="2870783" y="2586609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884674" y="2600500"/>
        <a:ext cx="920774" cy="446496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1D1DD74-2EED-4D63-8C11-5D2AA97DD035}">
      <dsp:nvSpPr>
        <dsp:cNvPr id="0" name=""/>
        <dsp:cNvSpPr/>
      </dsp:nvSpPr>
      <dsp:spPr>
        <a:xfrm>
          <a:off x="2573742" y="0"/>
          <a:ext cx="1101775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قيمة التمويل</a:t>
          </a:r>
          <a:endParaRPr lang="en-US" sz="2300" kern="1200"/>
        </a:p>
      </dsp:txBody>
      <dsp:txXfrm>
        <a:off x="2573742" y="0"/>
        <a:ext cx="1101775" cy="960120"/>
      </dsp:txXfrm>
    </dsp:sp>
    <dsp:sp modelId="{59732403-0095-49FE-B6B7-6A64B101C583}">
      <dsp:nvSpPr>
        <dsp:cNvPr id="0" name=""/>
        <dsp:cNvSpPr/>
      </dsp:nvSpPr>
      <dsp:spPr>
        <a:xfrm>
          <a:off x="1287437" y="0"/>
          <a:ext cx="1101775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شركة التمويل</a:t>
          </a:r>
          <a:endParaRPr lang="en-US" sz="2300" kern="1200"/>
        </a:p>
      </dsp:txBody>
      <dsp:txXfrm>
        <a:off x="1287437" y="0"/>
        <a:ext cx="1101775" cy="960120"/>
      </dsp:txXfrm>
    </dsp:sp>
    <dsp:sp modelId="{5853739F-5B39-4B0A-B6A0-0E8C08F96D01}">
      <dsp:nvSpPr>
        <dsp:cNvPr id="0" name=""/>
        <dsp:cNvSpPr/>
      </dsp:nvSpPr>
      <dsp:spPr>
        <a:xfrm>
          <a:off x="0" y="0"/>
          <a:ext cx="1101775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الحالة</a:t>
          </a:r>
          <a:endParaRPr lang="en-US" sz="2300" kern="1200"/>
        </a:p>
      </dsp:txBody>
      <dsp:txXfrm>
        <a:off x="0" y="0"/>
        <a:ext cx="1101775" cy="960120"/>
      </dsp:txXfrm>
    </dsp:sp>
    <dsp:sp modelId="{7DA6821B-9231-44F2-B2E7-CD8100055D4C}">
      <dsp:nvSpPr>
        <dsp:cNvPr id="0" name=""/>
        <dsp:cNvSpPr/>
      </dsp:nvSpPr>
      <dsp:spPr>
        <a:xfrm>
          <a:off x="93397" y="1785589"/>
          <a:ext cx="922651" cy="4613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b="1" kern="1200">
              <a:solidFill>
                <a:sysClr val="windowText" lastClr="000000"/>
              </a:solidFill>
            </a:rPr>
            <a:t>هوية</a:t>
          </a:r>
          <a:endParaRPr lang="en-US" sz="1200" b="1" kern="1200">
            <a:solidFill>
              <a:sysClr val="windowText" lastClr="000000"/>
            </a:solidFill>
          </a:endParaRPr>
        </a:p>
      </dsp:txBody>
      <dsp:txXfrm>
        <a:off x="106909" y="1799101"/>
        <a:ext cx="895627" cy="434301"/>
      </dsp:txXfrm>
    </dsp:sp>
    <dsp:sp modelId="{D25DF05C-67FB-4983-A01B-C35F1734F8BA}">
      <dsp:nvSpPr>
        <dsp:cNvPr id="0" name=""/>
        <dsp:cNvSpPr/>
      </dsp:nvSpPr>
      <dsp:spPr>
        <a:xfrm rot="19457599">
          <a:off x="973328" y="1870647"/>
          <a:ext cx="454499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454499" y="1297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89216" y="1872258"/>
        <a:ext cx="22724" cy="22724"/>
      </dsp:txXfrm>
    </dsp:sp>
    <dsp:sp modelId="{22DE6E38-6284-4F96-8CA4-34BF4DA76247}">
      <dsp:nvSpPr>
        <dsp:cNvPr id="0" name=""/>
        <dsp:cNvSpPr/>
      </dsp:nvSpPr>
      <dsp:spPr>
        <a:xfrm>
          <a:off x="1385108" y="1520327"/>
          <a:ext cx="922651" cy="461325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b="1" kern="1200"/>
            <a:t>المتخصصة</a:t>
          </a:r>
          <a:endParaRPr lang="en-US" sz="1200" b="1" kern="1200"/>
        </a:p>
      </dsp:txBody>
      <dsp:txXfrm>
        <a:off x="1398620" y="1533839"/>
        <a:ext cx="895627" cy="434301"/>
      </dsp:txXfrm>
    </dsp:sp>
    <dsp:sp modelId="{9F5D0CC9-33A5-4393-9516-87FB01DEDC55}">
      <dsp:nvSpPr>
        <dsp:cNvPr id="0" name=""/>
        <dsp:cNvSpPr/>
      </dsp:nvSpPr>
      <dsp:spPr>
        <a:xfrm>
          <a:off x="2307759" y="1738016"/>
          <a:ext cx="369060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369060" y="129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83063" y="1741763"/>
        <a:ext cx="18453" cy="18453"/>
      </dsp:txXfrm>
    </dsp:sp>
    <dsp:sp modelId="{EF6B63FC-5100-44CA-811F-55A3C426BF82}">
      <dsp:nvSpPr>
        <dsp:cNvPr id="0" name=""/>
        <dsp:cNvSpPr/>
      </dsp:nvSpPr>
      <dsp:spPr>
        <a:xfrm>
          <a:off x="2676820" y="1520327"/>
          <a:ext cx="922651" cy="461325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kern="1200"/>
            <a:t>المستعمل 85%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kern="1200"/>
            <a:t>الجديد 90%</a:t>
          </a:r>
          <a:endParaRPr lang="en-US" sz="1200" kern="1200"/>
        </a:p>
      </dsp:txBody>
      <dsp:txXfrm>
        <a:off x="2690332" y="1533839"/>
        <a:ext cx="895627" cy="434301"/>
      </dsp:txXfrm>
    </dsp:sp>
    <dsp:sp modelId="{DC28C3CC-328C-48DD-B9BE-20BBC3E6738F}">
      <dsp:nvSpPr>
        <dsp:cNvPr id="0" name=""/>
        <dsp:cNvSpPr/>
      </dsp:nvSpPr>
      <dsp:spPr>
        <a:xfrm rot="2142401">
          <a:off x="973328" y="2135909"/>
          <a:ext cx="454499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454499" y="1297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89216" y="2137520"/>
        <a:ext cx="22724" cy="22724"/>
      </dsp:txXfrm>
    </dsp:sp>
    <dsp:sp modelId="{E51F5A81-087F-4429-AF6F-2083F03AFA05}">
      <dsp:nvSpPr>
        <dsp:cNvPr id="0" name=""/>
        <dsp:cNvSpPr/>
      </dsp:nvSpPr>
      <dsp:spPr>
        <a:xfrm>
          <a:off x="1385108" y="2050851"/>
          <a:ext cx="922651" cy="4613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b="1" kern="1200"/>
            <a:t>بندار</a:t>
          </a:r>
          <a:endParaRPr lang="en-US" sz="1200" b="1" kern="1200"/>
        </a:p>
      </dsp:txBody>
      <dsp:txXfrm>
        <a:off x="1398620" y="2064363"/>
        <a:ext cx="895627" cy="434301"/>
      </dsp:txXfrm>
    </dsp:sp>
    <dsp:sp modelId="{B55A7E13-D8E9-422F-BE3B-6B4D5C58AD32}">
      <dsp:nvSpPr>
        <dsp:cNvPr id="0" name=""/>
        <dsp:cNvSpPr/>
      </dsp:nvSpPr>
      <dsp:spPr>
        <a:xfrm>
          <a:off x="2307759" y="2268541"/>
          <a:ext cx="369060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369060" y="129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83063" y="2272287"/>
        <a:ext cx="18453" cy="18453"/>
      </dsp:txXfrm>
    </dsp:sp>
    <dsp:sp modelId="{B9506D3D-1639-4409-900B-045125EA75F8}">
      <dsp:nvSpPr>
        <dsp:cNvPr id="0" name=""/>
        <dsp:cNvSpPr/>
      </dsp:nvSpPr>
      <dsp:spPr>
        <a:xfrm>
          <a:off x="2676820" y="2050851"/>
          <a:ext cx="922651" cy="4613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kern="1200"/>
            <a:t>المستعمل 85%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kern="1200"/>
            <a:t>الجديد 90%</a:t>
          </a:r>
          <a:endParaRPr lang="en-US" sz="1200" kern="1200"/>
        </a:p>
      </dsp:txBody>
      <dsp:txXfrm>
        <a:off x="2690332" y="2064363"/>
        <a:ext cx="895627" cy="434301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1D1DD74-2EED-4D63-8C11-5D2AA97DD035}">
      <dsp:nvSpPr>
        <dsp:cNvPr id="0" name=""/>
        <dsp:cNvSpPr/>
      </dsp:nvSpPr>
      <dsp:spPr>
        <a:xfrm>
          <a:off x="2797194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قيمة التمويل</a:t>
          </a:r>
          <a:endParaRPr lang="en-US" sz="2300" kern="1200"/>
        </a:p>
      </dsp:txBody>
      <dsp:txXfrm>
        <a:off x="2797194" y="0"/>
        <a:ext cx="1138267" cy="960120"/>
      </dsp:txXfrm>
    </dsp:sp>
    <dsp:sp modelId="{59732403-0095-49FE-B6B7-6A64B101C583}">
      <dsp:nvSpPr>
        <dsp:cNvPr id="0" name=""/>
        <dsp:cNvSpPr/>
      </dsp:nvSpPr>
      <dsp:spPr>
        <a:xfrm>
          <a:off x="1469216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شركة التمويل</a:t>
          </a:r>
          <a:endParaRPr lang="en-US" sz="2300" kern="1200"/>
        </a:p>
      </dsp:txBody>
      <dsp:txXfrm>
        <a:off x="1469216" y="0"/>
        <a:ext cx="1138267" cy="960120"/>
      </dsp:txXfrm>
    </dsp:sp>
    <dsp:sp modelId="{5853739F-5B39-4B0A-B6A0-0E8C08F96D01}">
      <dsp:nvSpPr>
        <dsp:cNvPr id="0" name=""/>
        <dsp:cNvSpPr/>
      </dsp:nvSpPr>
      <dsp:spPr>
        <a:xfrm>
          <a:off x="119975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الحالة</a:t>
          </a:r>
          <a:endParaRPr lang="en-US" sz="2300" kern="1200"/>
        </a:p>
      </dsp:txBody>
      <dsp:txXfrm>
        <a:off x="119975" y="0"/>
        <a:ext cx="1138267" cy="960120"/>
      </dsp:txXfrm>
    </dsp:sp>
    <dsp:sp modelId="{7DA6821B-9231-44F2-B2E7-CD8100055D4C}">
      <dsp:nvSpPr>
        <dsp:cNvPr id="0" name=""/>
        <dsp:cNvSpPr/>
      </dsp:nvSpPr>
      <dsp:spPr>
        <a:xfrm>
          <a:off x="236093" y="1779112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>
              <a:solidFill>
                <a:sysClr val="windowText" lastClr="000000"/>
              </a:solidFill>
            </a:rPr>
            <a:t>سجل تجاري</a:t>
          </a:r>
        </a:p>
      </dsp:txBody>
      <dsp:txXfrm>
        <a:off x="249984" y="1793003"/>
        <a:ext cx="920774" cy="446496"/>
      </dsp:txXfrm>
    </dsp:sp>
    <dsp:sp modelId="{D25DF05C-67FB-4983-A01B-C35F1734F8BA}">
      <dsp:nvSpPr>
        <dsp:cNvPr id="0" name=""/>
        <dsp:cNvSpPr/>
      </dsp:nvSpPr>
      <dsp:spPr>
        <a:xfrm rot="17692822">
          <a:off x="923445" y="1593849"/>
          <a:ext cx="90183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90183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51815" y="1584641"/>
        <a:ext cx="45091" cy="45091"/>
      </dsp:txXfrm>
    </dsp:sp>
    <dsp:sp modelId="{22DE6E38-6284-4F96-8CA4-34BF4DA76247}">
      <dsp:nvSpPr>
        <dsp:cNvPr id="0" name=""/>
        <dsp:cNvSpPr/>
      </dsp:nvSpPr>
      <dsp:spPr>
        <a:xfrm>
          <a:off x="1564071" y="960983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دار التمويل</a:t>
          </a:r>
          <a:endParaRPr lang="en-US" sz="1500" kern="1200"/>
        </a:p>
      </dsp:txBody>
      <dsp:txXfrm>
        <a:off x="1577962" y="974874"/>
        <a:ext cx="920774" cy="446496"/>
      </dsp:txXfrm>
    </dsp:sp>
    <dsp:sp modelId="{9F5D0CC9-33A5-4393-9516-87FB01DEDC55}">
      <dsp:nvSpPr>
        <dsp:cNvPr id="0" name=""/>
        <dsp:cNvSpPr/>
      </dsp:nvSpPr>
      <dsp:spPr>
        <a:xfrm rot="102034">
          <a:off x="2512549" y="1190101"/>
          <a:ext cx="358313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58313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82748" y="1194481"/>
        <a:ext cx="17915" cy="17915"/>
      </dsp:txXfrm>
    </dsp:sp>
    <dsp:sp modelId="{EF6B63FC-5100-44CA-811F-55A3C426BF82}">
      <dsp:nvSpPr>
        <dsp:cNvPr id="0" name=""/>
        <dsp:cNvSpPr/>
      </dsp:nvSpPr>
      <dsp:spPr>
        <a:xfrm>
          <a:off x="2870783" y="971616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884674" y="985507"/>
        <a:ext cx="920774" cy="446496"/>
      </dsp:txXfrm>
    </dsp:sp>
    <dsp:sp modelId="{DC28C3CC-328C-48DD-B9BE-20BBC3E6738F}">
      <dsp:nvSpPr>
        <dsp:cNvPr id="0" name=""/>
        <dsp:cNvSpPr/>
      </dsp:nvSpPr>
      <dsp:spPr>
        <a:xfrm rot="19457599">
          <a:off x="1140730" y="1866559"/>
          <a:ext cx="46726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46726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62679" y="1868215"/>
        <a:ext cx="23363" cy="23363"/>
      </dsp:txXfrm>
    </dsp:sp>
    <dsp:sp modelId="{E51F5A81-087F-4429-AF6F-2083F03AFA05}">
      <dsp:nvSpPr>
        <dsp:cNvPr id="0" name=""/>
        <dsp:cNvSpPr/>
      </dsp:nvSpPr>
      <dsp:spPr>
        <a:xfrm>
          <a:off x="1564071" y="1506403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تمكين</a:t>
          </a:r>
          <a:endParaRPr lang="en-US" sz="1500" kern="1200"/>
        </a:p>
      </dsp:txBody>
      <dsp:txXfrm>
        <a:off x="1577962" y="1520294"/>
        <a:ext cx="920774" cy="446496"/>
      </dsp:txXfrm>
    </dsp:sp>
    <dsp:sp modelId="{A06BBD84-2BD5-47AA-8DA4-D5BC89D40EDF}">
      <dsp:nvSpPr>
        <dsp:cNvPr id="0" name=""/>
        <dsp:cNvSpPr/>
      </dsp:nvSpPr>
      <dsp:spPr>
        <a:xfrm>
          <a:off x="2512628" y="1730204"/>
          <a:ext cx="379422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79422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92853" y="1734056"/>
        <a:ext cx="18971" cy="18971"/>
      </dsp:txXfrm>
    </dsp:sp>
    <dsp:sp modelId="{0C33464E-0F17-4F5A-8088-1173D00C0B52}">
      <dsp:nvSpPr>
        <dsp:cNvPr id="0" name=""/>
        <dsp:cNvSpPr/>
      </dsp:nvSpPr>
      <dsp:spPr>
        <a:xfrm>
          <a:off x="2892050" y="1506403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905941" y="1520294"/>
        <a:ext cx="920774" cy="446496"/>
      </dsp:txXfrm>
    </dsp:sp>
    <dsp:sp modelId="{0BAA4C06-8AAF-473F-A974-B50B33682FA4}">
      <dsp:nvSpPr>
        <dsp:cNvPr id="0" name=""/>
        <dsp:cNvSpPr/>
      </dsp:nvSpPr>
      <dsp:spPr>
        <a:xfrm rot="2142401">
          <a:off x="1140730" y="2139269"/>
          <a:ext cx="46726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46726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62679" y="2140925"/>
        <a:ext cx="23363" cy="23363"/>
      </dsp:txXfrm>
    </dsp:sp>
    <dsp:sp modelId="{041C507A-4C72-48D6-9D15-7FDB8773A130}">
      <dsp:nvSpPr>
        <dsp:cNvPr id="0" name=""/>
        <dsp:cNvSpPr/>
      </dsp:nvSpPr>
      <dsp:spPr>
        <a:xfrm>
          <a:off x="1564071" y="2051822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الكوثر</a:t>
          </a:r>
          <a:endParaRPr lang="en-US" sz="1500" kern="1200"/>
        </a:p>
      </dsp:txBody>
      <dsp:txXfrm>
        <a:off x="1577962" y="2065713"/>
        <a:ext cx="920774" cy="446496"/>
      </dsp:txXfrm>
    </dsp:sp>
    <dsp:sp modelId="{C5937E6E-6D4D-4F4B-AACA-9185CD3A6C28}">
      <dsp:nvSpPr>
        <dsp:cNvPr id="0" name=""/>
        <dsp:cNvSpPr/>
      </dsp:nvSpPr>
      <dsp:spPr>
        <a:xfrm>
          <a:off x="2512628" y="2275624"/>
          <a:ext cx="379422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79422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92853" y="2279476"/>
        <a:ext cx="18971" cy="18971"/>
      </dsp:txXfrm>
    </dsp:sp>
    <dsp:sp modelId="{38943DD7-311D-4570-B066-E6FD3E6468C4}">
      <dsp:nvSpPr>
        <dsp:cNvPr id="0" name=""/>
        <dsp:cNvSpPr/>
      </dsp:nvSpPr>
      <dsp:spPr>
        <a:xfrm>
          <a:off x="2892050" y="2051822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905941" y="2065713"/>
        <a:ext cx="920774" cy="446496"/>
      </dsp:txXfrm>
    </dsp:sp>
    <dsp:sp modelId="{A6690199-C997-4781-9273-E814457E641D}">
      <dsp:nvSpPr>
        <dsp:cNvPr id="0" name=""/>
        <dsp:cNvSpPr/>
      </dsp:nvSpPr>
      <dsp:spPr>
        <a:xfrm rot="3907178">
          <a:off x="923445" y="2411979"/>
          <a:ext cx="90183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90183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51815" y="2402771"/>
        <a:ext cx="45091" cy="45091"/>
      </dsp:txXfrm>
    </dsp:sp>
    <dsp:sp modelId="{31D8E891-C037-4299-B2DA-2E293F5FC0E2}">
      <dsp:nvSpPr>
        <dsp:cNvPr id="0" name=""/>
        <dsp:cNvSpPr/>
      </dsp:nvSpPr>
      <dsp:spPr>
        <a:xfrm>
          <a:off x="1564071" y="2597242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السماحة</a:t>
          </a:r>
          <a:endParaRPr lang="en-US" sz="1500" kern="1200"/>
        </a:p>
      </dsp:txBody>
      <dsp:txXfrm>
        <a:off x="1577962" y="2611133"/>
        <a:ext cx="920774" cy="446496"/>
      </dsp:txXfrm>
    </dsp:sp>
    <dsp:sp modelId="{B55A7E13-D8E9-422F-BE3B-6B4D5C58AD32}">
      <dsp:nvSpPr>
        <dsp:cNvPr id="0" name=""/>
        <dsp:cNvSpPr/>
      </dsp:nvSpPr>
      <dsp:spPr>
        <a:xfrm rot="21497966">
          <a:off x="2512549" y="2815727"/>
          <a:ext cx="358313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58313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82748" y="2820107"/>
        <a:ext cx="17915" cy="17915"/>
      </dsp:txXfrm>
    </dsp:sp>
    <dsp:sp modelId="{B9506D3D-1639-4409-900B-045125EA75F8}">
      <dsp:nvSpPr>
        <dsp:cNvPr id="0" name=""/>
        <dsp:cNvSpPr/>
      </dsp:nvSpPr>
      <dsp:spPr>
        <a:xfrm>
          <a:off x="2870783" y="2586609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884674" y="2600500"/>
        <a:ext cx="920774" cy="446496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1D1DD74-2EED-4D63-8C11-5D2AA97DD035}">
      <dsp:nvSpPr>
        <dsp:cNvPr id="0" name=""/>
        <dsp:cNvSpPr/>
      </dsp:nvSpPr>
      <dsp:spPr>
        <a:xfrm>
          <a:off x="2641056" y="0"/>
          <a:ext cx="1130843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قيمة التمويل</a:t>
          </a:r>
          <a:endParaRPr lang="en-US" sz="2300" kern="1200"/>
        </a:p>
      </dsp:txBody>
      <dsp:txXfrm>
        <a:off x="2641056" y="0"/>
        <a:ext cx="1130843" cy="960120"/>
      </dsp:txXfrm>
    </dsp:sp>
    <dsp:sp modelId="{59732403-0095-49FE-B6B7-6A64B101C583}">
      <dsp:nvSpPr>
        <dsp:cNvPr id="0" name=""/>
        <dsp:cNvSpPr/>
      </dsp:nvSpPr>
      <dsp:spPr>
        <a:xfrm>
          <a:off x="1320528" y="0"/>
          <a:ext cx="1130843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شركة التمويل</a:t>
          </a:r>
          <a:endParaRPr lang="en-US" sz="2300" kern="1200"/>
        </a:p>
      </dsp:txBody>
      <dsp:txXfrm>
        <a:off x="1320528" y="0"/>
        <a:ext cx="1130843" cy="960120"/>
      </dsp:txXfrm>
    </dsp:sp>
    <dsp:sp modelId="{5853739F-5B39-4B0A-B6A0-0E8C08F96D01}">
      <dsp:nvSpPr>
        <dsp:cNvPr id="0" name=""/>
        <dsp:cNvSpPr/>
      </dsp:nvSpPr>
      <dsp:spPr>
        <a:xfrm>
          <a:off x="0" y="0"/>
          <a:ext cx="1130843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الحالة</a:t>
          </a:r>
          <a:endParaRPr lang="en-US" sz="2300" kern="1200"/>
        </a:p>
      </dsp:txBody>
      <dsp:txXfrm>
        <a:off x="0" y="0"/>
        <a:ext cx="1130843" cy="960120"/>
      </dsp:txXfrm>
    </dsp:sp>
    <dsp:sp modelId="{7DA6821B-9231-44F2-B2E7-CD8100055D4C}">
      <dsp:nvSpPr>
        <dsp:cNvPr id="0" name=""/>
        <dsp:cNvSpPr/>
      </dsp:nvSpPr>
      <dsp:spPr>
        <a:xfrm>
          <a:off x="94985" y="1779503"/>
          <a:ext cx="946993" cy="47349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100" b="1" kern="1200">
              <a:solidFill>
                <a:sysClr val="windowText" lastClr="000000"/>
              </a:solidFill>
            </a:rPr>
            <a:t>تطبيقات توصيل الطلبات</a:t>
          </a:r>
          <a:endParaRPr lang="en-US" sz="1100" b="1" kern="1200">
            <a:solidFill>
              <a:sysClr val="windowText" lastClr="000000"/>
            </a:solidFill>
          </a:endParaRPr>
        </a:p>
      </dsp:txBody>
      <dsp:txXfrm>
        <a:off x="108853" y="1793371"/>
        <a:ext cx="919257" cy="445760"/>
      </dsp:txXfrm>
    </dsp:sp>
    <dsp:sp modelId="{D25DF05C-67FB-4983-A01B-C35F1734F8BA}">
      <dsp:nvSpPr>
        <dsp:cNvPr id="0" name=""/>
        <dsp:cNvSpPr/>
      </dsp:nvSpPr>
      <dsp:spPr>
        <a:xfrm rot="19457599">
          <a:off x="998132" y="1866806"/>
          <a:ext cx="466490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466490" y="13315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219715" y="1868459"/>
        <a:ext cx="23324" cy="23324"/>
      </dsp:txXfrm>
    </dsp:sp>
    <dsp:sp modelId="{22DE6E38-6284-4F96-8CA4-34BF4DA76247}">
      <dsp:nvSpPr>
        <dsp:cNvPr id="0" name=""/>
        <dsp:cNvSpPr/>
      </dsp:nvSpPr>
      <dsp:spPr>
        <a:xfrm>
          <a:off x="1420776" y="1507243"/>
          <a:ext cx="946993" cy="473496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b="1" kern="1200"/>
            <a:t>السماحة</a:t>
          </a:r>
          <a:endParaRPr lang="en-US" sz="1500" b="1" kern="1200"/>
        </a:p>
      </dsp:txBody>
      <dsp:txXfrm>
        <a:off x="1434644" y="1521111"/>
        <a:ext cx="919257" cy="445760"/>
      </dsp:txXfrm>
    </dsp:sp>
    <dsp:sp modelId="{9F5D0CC9-33A5-4393-9516-87FB01DEDC55}">
      <dsp:nvSpPr>
        <dsp:cNvPr id="0" name=""/>
        <dsp:cNvSpPr/>
      </dsp:nvSpPr>
      <dsp:spPr>
        <a:xfrm>
          <a:off x="2367769" y="1730675"/>
          <a:ext cx="378797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378797" y="1331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547698" y="1734521"/>
        <a:ext cx="18939" cy="18939"/>
      </dsp:txXfrm>
    </dsp:sp>
    <dsp:sp modelId="{EF6B63FC-5100-44CA-811F-55A3C426BF82}">
      <dsp:nvSpPr>
        <dsp:cNvPr id="0" name=""/>
        <dsp:cNvSpPr/>
      </dsp:nvSpPr>
      <dsp:spPr>
        <a:xfrm>
          <a:off x="2746567" y="1507243"/>
          <a:ext cx="946993" cy="473496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760435" y="1521111"/>
        <a:ext cx="919257" cy="445760"/>
      </dsp:txXfrm>
    </dsp:sp>
    <dsp:sp modelId="{DC28C3CC-328C-48DD-B9BE-20BBC3E6738F}">
      <dsp:nvSpPr>
        <dsp:cNvPr id="0" name=""/>
        <dsp:cNvSpPr/>
      </dsp:nvSpPr>
      <dsp:spPr>
        <a:xfrm rot="2142401">
          <a:off x="998132" y="2139066"/>
          <a:ext cx="466490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466490" y="13315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219715" y="2140720"/>
        <a:ext cx="23324" cy="23324"/>
      </dsp:txXfrm>
    </dsp:sp>
    <dsp:sp modelId="{E51F5A81-087F-4429-AF6F-2083F03AFA05}">
      <dsp:nvSpPr>
        <dsp:cNvPr id="0" name=""/>
        <dsp:cNvSpPr/>
      </dsp:nvSpPr>
      <dsp:spPr>
        <a:xfrm>
          <a:off x="1420776" y="2051764"/>
          <a:ext cx="946993" cy="47349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b="1" kern="1200"/>
            <a:t>دار التمويل</a:t>
          </a:r>
          <a:endParaRPr lang="en-US" sz="1500" b="1" kern="1200"/>
        </a:p>
      </dsp:txBody>
      <dsp:txXfrm>
        <a:off x="1434644" y="2065632"/>
        <a:ext cx="919257" cy="445760"/>
      </dsp:txXfrm>
    </dsp:sp>
    <dsp:sp modelId="{B55A7E13-D8E9-422F-BE3B-6B4D5C58AD32}">
      <dsp:nvSpPr>
        <dsp:cNvPr id="0" name=""/>
        <dsp:cNvSpPr/>
      </dsp:nvSpPr>
      <dsp:spPr>
        <a:xfrm>
          <a:off x="2367769" y="2275197"/>
          <a:ext cx="378797" cy="26630"/>
        </a:xfrm>
        <a:custGeom>
          <a:avLst/>
          <a:gdLst/>
          <a:ahLst/>
          <a:cxnLst/>
          <a:rect l="0" t="0" r="0" b="0"/>
          <a:pathLst>
            <a:path>
              <a:moveTo>
                <a:pt x="0" y="13315"/>
              </a:moveTo>
              <a:lnTo>
                <a:pt x="378797" y="1331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547698" y="2279042"/>
        <a:ext cx="18939" cy="18939"/>
      </dsp:txXfrm>
    </dsp:sp>
    <dsp:sp modelId="{B9506D3D-1639-4409-900B-045125EA75F8}">
      <dsp:nvSpPr>
        <dsp:cNvPr id="0" name=""/>
        <dsp:cNvSpPr/>
      </dsp:nvSpPr>
      <dsp:spPr>
        <a:xfrm>
          <a:off x="2746567" y="2051764"/>
          <a:ext cx="946993" cy="473496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760435" y="2065632"/>
        <a:ext cx="919257" cy="44576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5">
  <dgm:title val=""/>
  <dgm:desc val=""/>
  <dgm:catLst>
    <dgm:cat type="hierarchy" pri="6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/>
    <dgm:presOf/>
    <dgm:shape xmlns:r="http://schemas.openxmlformats.org/officeDocument/2006/relationships" r:blip="">
      <dgm:adjLst/>
    </dgm:shape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/>
              <dgm:constr type="t" for="ch" forName="hierFlow" refType="h" fact="0.3"/>
              <dgm:constr type="r" for="ch" forName="hierFlow" refType="w" fact="0.98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 refType="h" fact="0.3"/>
              <dgm:constr type="r" for="ch" forName="hierFlow" refType="w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h" for="des" forName="level1Shape" refType="h"/>
          <dgm:constr type="w" for="des" forName="level1Shape" refType="h" refFor="des" refForName="level1Shape" fact="2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w" refFor="des" refForName="level1Shape" op="equ" fact="0.4"/>
          <dgm:constr type="sibSp" for="des" forName="hierChild1" refType="h" refFor="des" refForName="level1Shape" op="equ" fact="0.15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w" refFor="des" refForName="level1Shape" op="equ"/>
          <dgm:constr type="userB" for="des" refType="sp" refFor="des" op="equ"/>
          <dgm:constr type="w" for="des" forName="firstBuf" refType="w" refFor="des" refForName="level1Shape" fact="0.1"/>
        </dgm:constrLst>
      </dgm:else>
    </dgm:choose>
    <dgm:ruleLst/>
    <dgm:layoutNode name="hierFlow">
      <dgm:choose name="Name6">
        <dgm:if name="Name7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  <dgm:param type="fallback" val="2D"/>
          </dgm:alg>
        </dgm:if>
        <dgm:else name="Name8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  <dgm:param type="fallback" val="2D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primFontSz" for="des" ptType="node" op="equ" val="65"/>
        <dgm:constr type="primFontSz" for="des" forName="connTx" op="equ" val="55"/>
        <dgm:constr type="primFontSz" for="des" forName="connTx" refType="primFontSz" refFor="des" refPtType="node" op="lte" fact="0.8"/>
      </dgm:constrLst>
      <dgm:ruleLst/>
      <dgm:choose name="Name9">
        <dgm:if name="Name10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1"/>
      </dgm:choose>
      <dgm:layoutNode name="hierChild1">
        <dgm:varLst>
          <dgm:chPref val="1"/>
          <dgm:animOne val="branch"/>
          <dgm:animLvl val="lvl"/>
        </dgm:varLst>
        <dgm:choose name="Name12">
          <dgm:if name="Name13" func="var" arg="dir" op="equ" val="norm">
            <dgm:alg type="hierChild">
              <dgm:param type="linDir" val="fromT"/>
              <dgm:param type="chAlign" val="l"/>
            </dgm:alg>
          </dgm:if>
          <dgm:else name="Name14">
            <dgm:alg type="hierChild">
              <dgm:param type="linDir" val="fromT"/>
              <dgm:param type="ch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forEach name="Name15" axis="ch" cnt="3">
          <dgm:forEach name="Name16" axis="self" ptType="node">
            <dgm:layoutNode name="Name17">
              <dgm:choose name="Name18">
                <dgm:if name="Name19" func="var" arg="dir" op="equ" val="norm">
                  <dgm:alg type="hierRoot">
                    <dgm:param type="hierAlign" val="lCtrCh"/>
                  </dgm:alg>
                </dgm:if>
                <dgm:else name="Name20">
                  <dgm:alg type="hierRoot">
                    <dgm:param type="hierAlign" val="rCtrCh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tMarg" refType="primFontSz" fact="0.05"/>
                  <dgm:constr type="bMarg" refType="primFontSz" fact="0.05"/>
                  <dgm:constr type="lMarg" refType="primFontSz" fact="0.05"/>
                  <dgm:constr type="rMarg" refType="primFontSz" fact="0.05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21">
                  <dgm:if name="Name2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23">
                    <dgm:alg type="hierChild">
                      <dgm:param type="linDir" val="fromT"/>
                      <dgm:param type="ch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24" axis="self" ptType="parTrans" cnt="1">
                    <dgm:layoutNode name="Name25">
                      <dgm:choose name="Name26">
                        <dgm:if name="Name27" func="var" arg="dir" op="equ" val="norm">
                          <dgm:alg type="conn">
                            <dgm:param type="dim" val="1D"/>
                            <dgm:param type="begPts" val="midR"/>
                            <dgm:param type="endPts" val="midL"/>
                            <dgm:param type="endSty" val="noArr"/>
                          </dgm:alg>
                        </dgm:if>
                        <dgm:else name="Name28">
                          <dgm:alg type="conn">
                            <dgm:param type="dim" val="1D"/>
                            <dgm:param type="begPts" val="midL"/>
                            <dgm:param type="endPts" val="midR"/>
                            <dgm:param type="endSty" val="noArr"/>
                          </dgm:alg>
                        </dgm:else>
                      </dgm:choose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5"/>
                        <dgm:constr type="connDist"/>
                        <dgm:constr type="begPad"/>
                        <dgm:constr type="endPad"/>
                        <dgm:constr type="userA" for="ch" refType="connDist"/>
                      </dgm:constrLst>
                      <dgm:ruleLst/>
                      <dgm:layoutNode name="connTx">
                        <dgm:alg type="tx">
                          <dgm:param type="autoTxRot" val="grav"/>
                        </dgm:alg>
                        <dgm:shape xmlns:r="http://schemas.openxmlformats.org/officeDocument/2006/relationships" type="rect" r:blip="" hideGeom="1">
                          <dgm:adjLst/>
                        </dgm:shape>
                        <dgm:presOf axis="self"/>
                        <dgm:constrLst>
                          <dgm:constr type="userA"/>
                          <dgm:constr type="w" refType="userA" fact="0.05"/>
                          <dgm:constr type="h" refType="userA" fact="0.05"/>
                          <dgm:constr type="lMarg" val="1"/>
                          <dgm:constr type="rMarg" val="1"/>
                          <dgm:constr type="tMarg"/>
                          <dgm:constr type="bMarg"/>
                        </dgm:constrLst>
                        <dgm:ruleLst>
                          <dgm:rule type="h" val="NaN" fact="0.25" max="NaN"/>
                          <dgm:rule type="w" val="NaN" fact="0.8" max="NaN"/>
                          <dgm:rule type="primFontSz" val="5" fact="NaN" max="NaN"/>
                        </dgm:ruleLst>
                      </dgm:layoutNode>
                    </dgm:layoutNode>
                  </dgm:forEach>
                  <dgm:forEach name="Name29" axis="self" ptType="node">
                    <dgm:layoutNode name="Name30">
                      <dgm:choose name="Name31">
                        <dgm:if name="Name32" func="var" arg="dir" op="equ" val="norm">
                          <dgm:alg type="hierRoot">
                            <dgm:param type="hierAlign" val="lCtrCh"/>
                          </dgm:alg>
                        </dgm:if>
                        <dgm:else name="Name33">
                          <dgm:alg type="hierRoot">
                            <dgm:param type="hierAlign" val="rCtrCh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tMarg" refType="primFontSz" fact="0.05"/>
                          <dgm:constr type="bMarg" refType="primFontSz" fact="0.05"/>
                          <dgm:constr type="lMarg" refType="primFontSz" fact="0.05"/>
                          <dgm:constr type="rMarg" refType="primFontSz" fact="0.05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34">
                          <dgm:if name="Name35" func="var" arg="dir" op="equ" val="norm">
                            <dgm:alg type="hierChild">
                              <dgm:param type="linDir" val="fromT"/>
                              <dgm:param type="chAlign" val="l"/>
                            </dgm:alg>
                          </dgm:if>
                          <dgm:else name="Name36">
                            <dgm:alg type="hierChild">
                              <dgm:param type="linDir" val="fromT"/>
                              <dgm:param type="chAlign" val="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37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choose name="Name38">
        <dgm:if name="Name39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</dgm:alg>
        </dgm:if>
        <dgm:else name="Name40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rectComp" refType="w"/>
        <dgm:constr type="h" for="ch" forName="rectComp" refType="h"/>
        <dgm:constr type="h" for="des" forName="bgRect" refType="h"/>
        <dgm:constr type="primFontSz" for="des" forName="bgRectTx" op="equ" val="65"/>
      </dgm:constrLst>
      <dgm:ruleLst/>
      <dgm:forEach name="Name41" axis="ch" ptType="node" st="2">
        <dgm:layoutNode name="rectComp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userA"/>
            <dgm:constr type="l" for="ch" forName="bgRect"/>
            <dgm:constr type="t" for="ch" forName="bgRect"/>
            <dgm:constr type="w" for="ch" forName="bgRect" refType="userA" fact="1.2"/>
            <dgm:constr type="l" for="ch" forName="bgRectTx"/>
            <dgm:constr type="t" for="ch" forName="bgRectTx"/>
            <dgm:constr type="h" for="ch" forName="bgRectTx" refType="h" refFor="ch" refForName="bgRect" fact="0.3"/>
            <dgm:constr type="w" for="ch" forName="bgRectTx" refType="w" refFor="ch" refForName="bgRect" op="equ"/>
          </dgm:constrLst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shape xmlns:r="http://schemas.openxmlformats.org/officeDocument/2006/relationships" type="rect" r:blip="" zOrderOff="-999" hideGeom="1">
              <dgm:adjLst/>
            </dgm:shape>
            <dgm:presOf axis="desOrSelf" ptType="node"/>
            <dgm:constrLst/>
            <dgm:ruleLst>
              <dgm:rule type="primFontSz" val="5" fact="NaN" max="NaN"/>
            </dgm:ruleLst>
          </dgm:layoutNode>
        </dgm:layoutNode>
        <dgm:choose name="Name42">
          <dgm:if name="Name43" axis="self" ptType="node" func="revPos" op="gte" val="2">
            <dgm:layoutNode name="spComp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hSp"/>
                <dgm:constr type="t" for="ch" forName="hSp"/>
                <dgm:constr type="w" for="ch" forName="hSp" refType="userB"/>
                <dgm:constr type="wOff" for="ch" forName="hSp" refType="userA" fact="-0.2"/>
              </dgm:constrLst>
              <dgm:ruleLst/>
              <dgm:layoutNode name="h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44"/>
        </dgm:choose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5">
  <dgm:title val=""/>
  <dgm:desc val=""/>
  <dgm:catLst>
    <dgm:cat type="hierarchy" pri="6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/>
    <dgm:presOf/>
    <dgm:shape xmlns:r="http://schemas.openxmlformats.org/officeDocument/2006/relationships" r:blip="">
      <dgm:adjLst/>
    </dgm:shape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/>
              <dgm:constr type="t" for="ch" forName="hierFlow" refType="h" fact="0.3"/>
              <dgm:constr type="r" for="ch" forName="hierFlow" refType="w" fact="0.98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 refType="h" fact="0.3"/>
              <dgm:constr type="r" for="ch" forName="hierFlow" refType="w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h" for="des" forName="level1Shape" refType="h"/>
          <dgm:constr type="w" for="des" forName="level1Shape" refType="h" refFor="des" refForName="level1Shape" fact="2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w" refFor="des" refForName="level1Shape" op="equ" fact="0.4"/>
          <dgm:constr type="sibSp" for="des" forName="hierChild1" refType="h" refFor="des" refForName="level1Shape" op="equ" fact="0.15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w" refFor="des" refForName="level1Shape" op="equ"/>
          <dgm:constr type="userB" for="des" refType="sp" refFor="des" op="equ"/>
          <dgm:constr type="w" for="des" forName="firstBuf" refType="w" refFor="des" refForName="level1Shape" fact="0.1"/>
        </dgm:constrLst>
      </dgm:else>
    </dgm:choose>
    <dgm:ruleLst/>
    <dgm:layoutNode name="hierFlow">
      <dgm:choose name="Name6">
        <dgm:if name="Name7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  <dgm:param type="fallback" val="2D"/>
          </dgm:alg>
        </dgm:if>
        <dgm:else name="Name8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  <dgm:param type="fallback" val="2D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primFontSz" for="des" ptType="node" op="equ" val="65"/>
        <dgm:constr type="primFontSz" for="des" forName="connTx" op="equ" val="55"/>
        <dgm:constr type="primFontSz" for="des" forName="connTx" refType="primFontSz" refFor="des" refPtType="node" op="lte" fact="0.8"/>
      </dgm:constrLst>
      <dgm:ruleLst/>
      <dgm:choose name="Name9">
        <dgm:if name="Name10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1"/>
      </dgm:choose>
      <dgm:layoutNode name="hierChild1">
        <dgm:varLst>
          <dgm:chPref val="1"/>
          <dgm:animOne val="branch"/>
          <dgm:animLvl val="lvl"/>
        </dgm:varLst>
        <dgm:choose name="Name12">
          <dgm:if name="Name13" func="var" arg="dir" op="equ" val="norm">
            <dgm:alg type="hierChild">
              <dgm:param type="linDir" val="fromT"/>
              <dgm:param type="chAlign" val="l"/>
            </dgm:alg>
          </dgm:if>
          <dgm:else name="Name14">
            <dgm:alg type="hierChild">
              <dgm:param type="linDir" val="fromT"/>
              <dgm:param type="ch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forEach name="Name15" axis="ch" cnt="3">
          <dgm:forEach name="Name16" axis="self" ptType="node">
            <dgm:layoutNode name="Name17">
              <dgm:choose name="Name18">
                <dgm:if name="Name19" func="var" arg="dir" op="equ" val="norm">
                  <dgm:alg type="hierRoot">
                    <dgm:param type="hierAlign" val="lCtrCh"/>
                  </dgm:alg>
                </dgm:if>
                <dgm:else name="Name20">
                  <dgm:alg type="hierRoot">
                    <dgm:param type="hierAlign" val="rCtrCh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tMarg" refType="primFontSz" fact="0.05"/>
                  <dgm:constr type="bMarg" refType="primFontSz" fact="0.05"/>
                  <dgm:constr type="lMarg" refType="primFontSz" fact="0.05"/>
                  <dgm:constr type="rMarg" refType="primFontSz" fact="0.05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21">
                  <dgm:if name="Name2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23">
                    <dgm:alg type="hierChild">
                      <dgm:param type="linDir" val="fromT"/>
                      <dgm:param type="ch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24" axis="self" ptType="parTrans" cnt="1">
                    <dgm:layoutNode name="Name25">
                      <dgm:choose name="Name26">
                        <dgm:if name="Name27" func="var" arg="dir" op="equ" val="norm">
                          <dgm:alg type="conn">
                            <dgm:param type="dim" val="1D"/>
                            <dgm:param type="begPts" val="midR"/>
                            <dgm:param type="endPts" val="midL"/>
                            <dgm:param type="endSty" val="noArr"/>
                          </dgm:alg>
                        </dgm:if>
                        <dgm:else name="Name28">
                          <dgm:alg type="conn">
                            <dgm:param type="dim" val="1D"/>
                            <dgm:param type="begPts" val="midL"/>
                            <dgm:param type="endPts" val="midR"/>
                            <dgm:param type="endSty" val="noArr"/>
                          </dgm:alg>
                        </dgm:else>
                      </dgm:choose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5"/>
                        <dgm:constr type="connDist"/>
                        <dgm:constr type="begPad"/>
                        <dgm:constr type="endPad"/>
                        <dgm:constr type="userA" for="ch" refType="connDist"/>
                      </dgm:constrLst>
                      <dgm:ruleLst/>
                      <dgm:layoutNode name="connTx">
                        <dgm:alg type="tx">
                          <dgm:param type="autoTxRot" val="grav"/>
                        </dgm:alg>
                        <dgm:shape xmlns:r="http://schemas.openxmlformats.org/officeDocument/2006/relationships" type="rect" r:blip="" hideGeom="1">
                          <dgm:adjLst/>
                        </dgm:shape>
                        <dgm:presOf axis="self"/>
                        <dgm:constrLst>
                          <dgm:constr type="userA"/>
                          <dgm:constr type="w" refType="userA" fact="0.05"/>
                          <dgm:constr type="h" refType="userA" fact="0.05"/>
                          <dgm:constr type="lMarg" val="1"/>
                          <dgm:constr type="rMarg" val="1"/>
                          <dgm:constr type="tMarg"/>
                          <dgm:constr type="bMarg"/>
                        </dgm:constrLst>
                        <dgm:ruleLst>
                          <dgm:rule type="h" val="NaN" fact="0.25" max="NaN"/>
                          <dgm:rule type="w" val="NaN" fact="0.8" max="NaN"/>
                          <dgm:rule type="primFontSz" val="5" fact="NaN" max="NaN"/>
                        </dgm:ruleLst>
                      </dgm:layoutNode>
                    </dgm:layoutNode>
                  </dgm:forEach>
                  <dgm:forEach name="Name29" axis="self" ptType="node">
                    <dgm:layoutNode name="Name30">
                      <dgm:choose name="Name31">
                        <dgm:if name="Name32" func="var" arg="dir" op="equ" val="norm">
                          <dgm:alg type="hierRoot">
                            <dgm:param type="hierAlign" val="lCtrCh"/>
                          </dgm:alg>
                        </dgm:if>
                        <dgm:else name="Name33">
                          <dgm:alg type="hierRoot">
                            <dgm:param type="hierAlign" val="rCtrCh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tMarg" refType="primFontSz" fact="0.05"/>
                          <dgm:constr type="bMarg" refType="primFontSz" fact="0.05"/>
                          <dgm:constr type="lMarg" refType="primFontSz" fact="0.05"/>
                          <dgm:constr type="rMarg" refType="primFontSz" fact="0.05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34">
                          <dgm:if name="Name35" func="var" arg="dir" op="equ" val="norm">
                            <dgm:alg type="hierChild">
                              <dgm:param type="linDir" val="fromT"/>
                              <dgm:param type="chAlign" val="l"/>
                            </dgm:alg>
                          </dgm:if>
                          <dgm:else name="Name36">
                            <dgm:alg type="hierChild">
                              <dgm:param type="linDir" val="fromT"/>
                              <dgm:param type="chAlign" val="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37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choose name="Name38">
        <dgm:if name="Name39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</dgm:alg>
        </dgm:if>
        <dgm:else name="Name40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rectComp" refType="w"/>
        <dgm:constr type="h" for="ch" forName="rectComp" refType="h"/>
        <dgm:constr type="h" for="des" forName="bgRect" refType="h"/>
        <dgm:constr type="primFontSz" for="des" forName="bgRectTx" op="equ" val="65"/>
      </dgm:constrLst>
      <dgm:ruleLst/>
      <dgm:forEach name="Name41" axis="ch" ptType="node" st="2">
        <dgm:layoutNode name="rectComp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userA"/>
            <dgm:constr type="l" for="ch" forName="bgRect"/>
            <dgm:constr type="t" for="ch" forName="bgRect"/>
            <dgm:constr type="w" for="ch" forName="bgRect" refType="userA" fact="1.2"/>
            <dgm:constr type="l" for="ch" forName="bgRectTx"/>
            <dgm:constr type="t" for="ch" forName="bgRectTx"/>
            <dgm:constr type="h" for="ch" forName="bgRectTx" refType="h" refFor="ch" refForName="bgRect" fact="0.3"/>
            <dgm:constr type="w" for="ch" forName="bgRectTx" refType="w" refFor="ch" refForName="bgRect" op="equ"/>
          </dgm:constrLst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shape xmlns:r="http://schemas.openxmlformats.org/officeDocument/2006/relationships" type="rect" r:blip="" zOrderOff="-999" hideGeom="1">
              <dgm:adjLst/>
            </dgm:shape>
            <dgm:presOf axis="desOrSelf" ptType="node"/>
            <dgm:constrLst/>
            <dgm:ruleLst>
              <dgm:rule type="primFontSz" val="5" fact="NaN" max="NaN"/>
            </dgm:ruleLst>
          </dgm:layoutNode>
        </dgm:layoutNode>
        <dgm:choose name="Name42">
          <dgm:if name="Name43" axis="self" ptType="node" func="revPos" op="gte" val="2">
            <dgm:layoutNode name="spComp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hSp"/>
                <dgm:constr type="t" for="ch" forName="hSp"/>
                <dgm:constr type="w" for="ch" forName="hSp" refType="userB"/>
                <dgm:constr type="wOff" for="ch" forName="hSp" refType="userA" fact="-0.2"/>
              </dgm:constrLst>
              <dgm:ruleLst/>
              <dgm:layoutNode name="h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44"/>
        </dgm:choose>
      </dgm:forEach>
    </dgm:layoutNode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ierarchy5">
  <dgm:title val=""/>
  <dgm:desc val=""/>
  <dgm:catLst>
    <dgm:cat type="hierarchy" pri="6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/>
    <dgm:presOf/>
    <dgm:shape xmlns:r="http://schemas.openxmlformats.org/officeDocument/2006/relationships" r:blip="">
      <dgm:adjLst/>
    </dgm:shape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/>
              <dgm:constr type="t" for="ch" forName="hierFlow" refType="h" fact="0.3"/>
              <dgm:constr type="r" for="ch" forName="hierFlow" refType="w" fact="0.98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 refType="h" fact="0.3"/>
              <dgm:constr type="r" for="ch" forName="hierFlow" refType="w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h" for="des" forName="level1Shape" refType="h"/>
          <dgm:constr type="w" for="des" forName="level1Shape" refType="h" refFor="des" refForName="level1Shape" fact="2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w" refFor="des" refForName="level1Shape" op="equ" fact="0.4"/>
          <dgm:constr type="sibSp" for="des" forName="hierChild1" refType="h" refFor="des" refForName="level1Shape" op="equ" fact="0.15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w" refFor="des" refForName="level1Shape" op="equ"/>
          <dgm:constr type="userB" for="des" refType="sp" refFor="des" op="equ"/>
          <dgm:constr type="w" for="des" forName="firstBuf" refType="w" refFor="des" refForName="level1Shape" fact="0.1"/>
        </dgm:constrLst>
      </dgm:else>
    </dgm:choose>
    <dgm:ruleLst/>
    <dgm:layoutNode name="hierFlow">
      <dgm:choose name="Name6">
        <dgm:if name="Name7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  <dgm:param type="fallback" val="2D"/>
          </dgm:alg>
        </dgm:if>
        <dgm:else name="Name8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  <dgm:param type="fallback" val="2D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primFontSz" for="des" ptType="node" op="equ" val="65"/>
        <dgm:constr type="primFontSz" for="des" forName="connTx" op="equ" val="55"/>
        <dgm:constr type="primFontSz" for="des" forName="connTx" refType="primFontSz" refFor="des" refPtType="node" op="lte" fact="0.8"/>
      </dgm:constrLst>
      <dgm:ruleLst/>
      <dgm:choose name="Name9">
        <dgm:if name="Name10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1"/>
      </dgm:choose>
      <dgm:layoutNode name="hierChild1">
        <dgm:varLst>
          <dgm:chPref val="1"/>
          <dgm:animOne val="branch"/>
          <dgm:animLvl val="lvl"/>
        </dgm:varLst>
        <dgm:choose name="Name12">
          <dgm:if name="Name13" func="var" arg="dir" op="equ" val="norm">
            <dgm:alg type="hierChild">
              <dgm:param type="linDir" val="fromT"/>
              <dgm:param type="chAlign" val="l"/>
            </dgm:alg>
          </dgm:if>
          <dgm:else name="Name14">
            <dgm:alg type="hierChild">
              <dgm:param type="linDir" val="fromT"/>
              <dgm:param type="ch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forEach name="Name15" axis="ch" cnt="3">
          <dgm:forEach name="Name16" axis="self" ptType="node">
            <dgm:layoutNode name="Name17">
              <dgm:choose name="Name18">
                <dgm:if name="Name19" func="var" arg="dir" op="equ" val="norm">
                  <dgm:alg type="hierRoot">
                    <dgm:param type="hierAlign" val="lCtrCh"/>
                  </dgm:alg>
                </dgm:if>
                <dgm:else name="Name20">
                  <dgm:alg type="hierRoot">
                    <dgm:param type="hierAlign" val="rCtrCh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tMarg" refType="primFontSz" fact="0.05"/>
                  <dgm:constr type="bMarg" refType="primFontSz" fact="0.05"/>
                  <dgm:constr type="lMarg" refType="primFontSz" fact="0.05"/>
                  <dgm:constr type="rMarg" refType="primFontSz" fact="0.05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21">
                  <dgm:if name="Name2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23">
                    <dgm:alg type="hierChild">
                      <dgm:param type="linDir" val="fromT"/>
                      <dgm:param type="ch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24" axis="self" ptType="parTrans" cnt="1">
                    <dgm:layoutNode name="Name25">
                      <dgm:choose name="Name26">
                        <dgm:if name="Name27" func="var" arg="dir" op="equ" val="norm">
                          <dgm:alg type="conn">
                            <dgm:param type="dim" val="1D"/>
                            <dgm:param type="begPts" val="midR"/>
                            <dgm:param type="endPts" val="midL"/>
                            <dgm:param type="endSty" val="noArr"/>
                          </dgm:alg>
                        </dgm:if>
                        <dgm:else name="Name28">
                          <dgm:alg type="conn">
                            <dgm:param type="dim" val="1D"/>
                            <dgm:param type="begPts" val="midL"/>
                            <dgm:param type="endPts" val="midR"/>
                            <dgm:param type="endSty" val="noArr"/>
                          </dgm:alg>
                        </dgm:else>
                      </dgm:choose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5"/>
                        <dgm:constr type="connDist"/>
                        <dgm:constr type="begPad"/>
                        <dgm:constr type="endPad"/>
                        <dgm:constr type="userA" for="ch" refType="connDist"/>
                      </dgm:constrLst>
                      <dgm:ruleLst/>
                      <dgm:layoutNode name="connTx">
                        <dgm:alg type="tx">
                          <dgm:param type="autoTxRot" val="grav"/>
                        </dgm:alg>
                        <dgm:shape xmlns:r="http://schemas.openxmlformats.org/officeDocument/2006/relationships" type="rect" r:blip="" hideGeom="1">
                          <dgm:adjLst/>
                        </dgm:shape>
                        <dgm:presOf axis="self"/>
                        <dgm:constrLst>
                          <dgm:constr type="userA"/>
                          <dgm:constr type="w" refType="userA" fact="0.05"/>
                          <dgm:constr type="h" refType="userA" fact="0.05"/>
                          <dgm:constr type="lMarg" val="1"/>
                          <dgm:constr type="rMarg" val="1"/>
                          <dgm:constr type="tMarg"/>
                          <dgm:constr type="bMarg"/>
                        </dgm:constrLst>
                        <dgm:ruleLst>
                          <dgm:rule type="h" val="NaN" fact="0.25" max="NaN"/>
                          <dgm:rule type="w" val="NaN" fact="0.8" max="NaN"/>
                          <dgm:rule type="primFontSz" val="5" fact="NaN" max="NaN"/>
                        </dgm:ruleLst>
                      </dgm:layoutNode>
                    </dgm:layoutNode>
                  </dgm:forEach>
                  <dgm:forEach name="Name29" axis="self" ptType="node">
                    <dgm:layoutNode name="Name30">
                      <dgm:choose name="Name31">
                        <dgm:if name="Name32" func="var" arg="dir" op="equ" val="norm">
                          <dgm:alg type="hierRoot">
                            <dgm:param type="hierAlign" val="lCtrCh"/>
                          </dgm:alg>
                        </dgm:if>
                        <dgm:else name="Name33">
                          <dgm:alg type="hierRoot">
                            <dgm:param type="hierAlign" val="rCtrCh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tMarg" refType="primFontSz" fact="0.05"/>
                          <dgm:constr type="bMarg" refType="primFontSz" fact="0.05"/>
                          <dgm:constr type="lMarg" refType="primFontSz" fact="0.05"/>
                          <dgm:constr type="rMarg" refType="primFontSz" fact="0.05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34">
                          <dgm:if name="Name35" func="var" arg="dir" op="equ" val="norm">
                            <dgm:alg type="hierChild">
                              <dgm:param type="linDir" val="fromT"/>
                              <dgm:param type="chAlign" val="l"/>
                            </dgm:alg>
                          </dgm:if>
                          <dgm:else name="Name36">
                            <dgm:alg type="hierChild">
                              <dgm:param type="linDir" val="fromT"/>
                              <dgm:param type="chAlign" val="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37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choose name="Name38">
        <dgm:if name="Name39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</dgm:alg>
        </dgm:if>
        <dgm:else name="Name40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rectComp" refType="w"/>
        <dgm:constr type="h" for="ch" forName="rectComp" refType="h"/>
        <dgm:constr type="h" for="des" forName="bgRect" refType="h"/>
        <dgm:constr type="primFontSz" for="des" forName="bgRectTx" op="equ" val="65"/>
      </dgm:constrLst>
      <dgm:ruleLst/>
      <dgm:forEach name="Name41" axis="ch" ptType="node" st="2">
        <dgm:layoutNode name="rectComp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userA"/>
            <dgm:constr type="l" for="ch" forName="bgRect"/>
            <dgm:constr type="t" for="ch" forName="bgRect"/>
            <dgm:constr type="w" for="ch" forName="bgRect" refType="userA" fact="1.2"/>
            <dgm:constr type="l" for="ch" forName="bgRectTx"/>
            <dgm:constr type="t" for="ch" forName="bgRectTx"/>
            <dgm:constr type="h" for="ch" forName="bgRectTx" refType="h" refFor="ch" refForName="bgRect" fact="0.3"/>
            <dgm:constr type="w" for="ch" forName="bgRectTx" refType="w" refFor="ch" refForName="bgRect" op="equ"/>
          </dgm:constrLst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shape xmlns:r="http://schemas.openxmlformats.org/officeDocument/2006/relationships" type="rect" r:blip="" zOrderOff="-999" hideGeom="1">
              <dgm:adjLst/>
            </dgm:shape>
            <dgm:presOf axis="desOrSelf" ptType="node"/>
            <dgm:constrLst/>
            <dgm:ruleLst>
              <dgm:rule type="primFontSz" val="5" fact="NaN" max="NaN"/>
            </dgm:ruleLst>
          </dgm:layoutNode>
        </dgm:layoutNode>
        <dgm:choose name="Name42">
          <dgm:if name="Name43" axis="self" ptType="node" func="revPos" op="gte" val="2">
            <dgm:layoutNode name="spComp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hSp"/>
                <dgm:constr type="t" for="ch" forName="hSp"/>
                <dgm:constr type="w" for="ch" forName="hSp" refType="userB"/>
                <dgm:constr type="wOff" for="ch" forName="hSp" refType="userA" fact="-0.2"/>
              </dgm:constrLst>
              <dgm:ruleLst/>
              <dgm:layoutNode name="h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44"/>
        </dgm:choose>
      </dgm:forEach>
    </dgm:layoutNode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hierarchy5">
  <dgm:title val=""/>
  <dgm:desc val=""/>
  <dgm:catLst>
    <dgm:cat type="hierarchy" pri="6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/>
    <dgm:presOf/>
    <dgm:shape xmlns:r="http://schemas.openxmlformats.org/officeDocument/2006/relationships" r:blip="">
      <dgm:adjLst/>
    </dgm:shape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/>
              <dgm:constr type="t" for="ch" forName="hierFlow" refType="h" fact="0.3"/>
              <dgm:constr type="r" for="ch" forName="hierFlow" refType="w" fact="0.98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 refType="h" fact="0.3"/>
              <dgm:constr type="r" for="ch" forName="hierFlow" refType="w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h" for="des" forName="level1Shape" refType="h"/>
          <dgm:constr type="w" for="des" forName="level1Shape" refType="h" refFor="des" refForName="level1Shape" fact="2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w" refFor="des" refForName="level1Shape" op="equ" fact="0.4"/>
          <dgm:constr type="sibSp" for="des" forName="hierChild1" refType="h" refFor="des" refForName="level1Shape" op="equ" fact="0.15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w" refFor="des" refForName="level1Shape" op="equ"/>
          <dgm:constr type="userB" for="des" refType="sp" refFor="des" op="equ"/>
          <dgm:constr type="w" for="des" forName="firstBuf" refType="w" refFor="des" refForName="level1Shape" fact="0.1"/>
        </dgm:constrLst>
      </dgm:else>
    </dgm:choose>
    <dgm:ruleLst/>
    <dgm:layoutNode name="hierFlow">
      <dgm:choose name="Name6">
        <dgm:if name="Name7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  <dgm:param type="fallback" val="2D"/>
          </dgm:alg>
        </dgm:if>
        <dgm:else name="Name8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  <dgm:param type="fallback" val="2D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primFontSz" for="des" ptType="node" op="equ" val="65"/>
        <dgm:constr type="primFontSz" for="des" forName="connTx" op="equ" val="55"/>
        <dgm:constr type="primFontSz" for="des" forName="connTx" refType="primFontSz" refFor="des" refPtType="node" op="lte" fact="0.8"/>
      </dgm:constrLst>
      <dgm:ruleLst/>
      <dgm:choose name="Name9">
        <dgm:if name="Name10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1"/>
      </dgm:choose>
      <dgm:layoutNode name="hierChild1">
        <dgm:varLst>
          <dgm:chPref val="1"/>
          <dgm:animOne val="branch"/>
          <dgm:animLvl val="lvl"/>
        </dgm:varLst>
        <dgm:choose name="Name12">
          <dgm:if name="Name13" func="var" arg="dir" op="equ" val="norm">
            <dgm:alg type="hierChild">
              <dgm:param type="linDir" val="fromT"/>
              <dgm:param type="chAlign" val="l"/>
            </dgm:alg>
          </dgm:if>
          <dgm:else name="Name14">
            <dgm:alg type="hierChild">
              <dgm:param type="linDir" val="fromT"/>
              <dgm:param type="ch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forEach name="Name15" axis="ch" cnt="3">
          <dgm:forEach name="Name16" axis="self" ptType="node">
            <dgm:layoutNode name="Name17">
              <dgm:choose name="Name18">
                <dgm:if name="Name19" func="var" arg="dir" op="equ" val="norm">
                  <dgm:alg type="hierRoot">
                    <dgm:param type="hierAlign" val="lCtrCh"/>
                  </dgm:alg>
                </dgm:if>
                <dgm:else name="Name20">
                  <dgm:alg type="hierRoot">
                    <dgm:param type="hierAlign" val="rCtrCh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tMarg" refType="primFontSz" fact="0.05"/>
                  <dgm:constr type="bMarg" refType="primFontSz" fact="0.05"/>
                  <dgm:constr type="lMarg" refType="primFontSz" fact="0.05"/>
                  <dgm:constr type="rMarg" refType="primFontSz" fact="0.05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21">
                  <dgm:if name="Name2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23">
                    <dgm:alg type="hierChild">
                      <dgm:param type="linDir" val="fromT"/>
                      <dgm:param type="ch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24" axis="self" ptType="parTrans" cnt="1">
                    <dgm:layoutNode name="Name25">
                      <dgm:choose name="Name26">
                        <dgm:if name="Name27" func="var" arg="dir" op="equ" val="norm">
                          <dgm:alg type="conn">
                            <dgm:param type="dim" val="1D"/>
                            <dgm:param type="begPts" val="midR"/>
                            <dgm:param type="endPts" val="midL"/>
                            <dgm:param type="endSty" val="noArr"/>
                          </dgm:alg>
                        </dgm:if>
                        <dgm:else name="Name28">
                          <dgm:alg type="conn">
                            <dgm:param type="dim" val="1D"/>
                            <dgm:param type="begPts" val="midL"/>
                            <dgm:param type="endPts" val="midR"/>
                            <dgm:param type="endSty" val="noArr"/>
                          </dgm:alg>
                        </dgm:else>
                      </dgm:choose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5"/>
                        <dgm:constr type="connDist"/>
                        <dgm:constr type="begPad"/>
                        <dgm:constr type="endPad"/>
                        <dgm:constr type="userA" for="ch" refType="connDist"/>
                      </dgm:constrLst>
                      <dgm:ruleLst/>
                      <dgm:layoutNode name="connTx">
                        <dgm:alg type="tx">
                          <dgm:param type="autoTxRot" val="grav"/>
                        </dgm:alg>
                        <dgm:shape xmlns:r="http://schemas.openxmlformats.org/officeDocument/2006/relationships" type="rect" r:blip="" hideGeom="1">
                          <dgm:adjLst/>
                        </dgm:shape>
                        <dgm:presOf axis="self"/>
                        <dgm:constrLst>
                          <dgm:constr type="userA"/>
                          <dgm:constr type="w" refType="userA" fact="0.05"/>
                          <dgm:constr type="h" refType="userA" fact="0.05"/>
                          <dgm:constr type="lMarg" val="1"/>
                          <dgm:constr type="rMarg" val="1"/>
                          <dgm:constr type="tMarg"/>
                          <dgm:constr type="bMarg"/>
                        </dgm:constrLst>
                        <dgm:ruleLst>
                          <dgm:rule type="h" val="NaN" fact="0.25" max="NaN"/>
                          <dgm:rule type="w" val="NaN" fact="0.8" max="NaN"/>
                          <dgm:rule type="primFontSz" val="5" fact="NaN" max="NaN"/>
                        </dgm:ruleLst>
                      </dgm:layoutNode>
                    </dgm:layoutNode>
                  </dgm:forEach>
                  <dgm:forEach name="Name29" axis="self" ptType="node">
                    <dgm:layoutNode name="Name30">
                      <dgm:choose name="Name31">
                        <dgm:if name="Name32" func="var" arg="dir" op="equ" val="norm">
                          <dgm:alg type="hierRoot">
                            <dgm:param type="hierAlign" val="lCtrCh"/>
                          </dgm:alg>
                        </dgm:if>
                        <dgm:else name="Name33">
                          <dgm:alg type="hierRoot">
                            <dgm:param type="hierAlign" val="rCtrCh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tMarg" refType="primFontSz" fact="0.05"/>
                          <dgm:constr type="bMarg" refType="primFontSz" fact="0.05"/>
                          <dgm:constr type="lMarg" refType="primFontSz" fact="0.05"/>
                          <dgm:constr type="rMarg" refType="primFontSz" fact="0.05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34">
                          <dgm:if name="Name35" func="var" arg="dir" op="equ" val="norm">
                            <dgm:alg type="hierChild">
                              <dgm:param type="linDir" val="fromT"/>
                              <dgm:param type="chAlign" val="l"/>
                            </dgm:alg>
                          </dgm:if>
                          <dgm:else name="Name36">
                            <dgm:alg type="hierChild">
                              <dgm:param type="linDir" val="fromT"/>
                              <dgm:param type="chAlign" val="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37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choose name="Name38">
        <dgm:if name="Name39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</dgm:alg>
        </dgm:if>
        <dgm:else name="Name40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rectComp" refType="w"/>
        <dgm:constr type="h" for="ch" forName="rectComp" refType="h"/>
        <dgm:constr type="h" for="des" forName="bgRect" refType="h"/>
        <dgm:constr type="primFontSz" for="des" forName="bgRectTx" op="equ" val="65"/>
      </dgm:constrLst>
      <dgm:ruleLst/>
      <dgm:forEach name="Name41" axis="ch" ptType="node" st="2">
        <dgm:layoutNode name="rectComp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userA"/>
            <dgm:constr type="l" for="ch" forName="bgRect"/>
            <dgm:constr type="t" for="ch" forName="bgRect"/>
            <dgm:constr type="w" for="ch" forName="bgRect" refType="userA" fact="1.2"/>
            <dgm:constr type="l" for="ch" forName="bgRectTx"/>
            <dgm:constr type="t" for="ch" forName="bgRectTx"/>
            <dgm:constr type="h" for="ch" forName="bgRectTx" refType="h" refFor="ch" refForName="bgRect" fact="0.3"/>
            <dgm:constr type="w" for="ch" forName="bgRectTx" refType="w" refFor="ch" refForName="bgRect" op="equ"/>
          </dgm:constrLst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shape xmlns:r="http://schemas.openxmlformats.org/officeDocument/2006/relationships" type="rect" r:blip="" zOrderOff="-999" hideGeom="1">
              <dgm:adjLst/>
            </dgm:shape>
            <dgm:presOf axis="desOrSelf" ptType="node"/>
            <dgm:constrLst/>
            <dgm:ruleLst>
              <dgm:rule type="primFontSz" val="5" fact="NaN" max="NaN"/>
            </dgm:ruleLst>
          </dgm:layoutNode>
        </dgm:layoutNode>
        <dgm:choose name="Name42">
          <dgm:if name="Name43" axis="self" ptType="node" func="revPos" op="gte" val="2">
            <dgm:layoutNode name="spComp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hSp"/>
                <dgm:constr type="t" for="ch" forName="hSp"/>
                <dgm:constr type="w" for="ch" forName="hSp" refType="userB"/>
                <dgm:constr type="wOff" for="ch" forName="hSp" refType="userA" fact="-0.2"/>
              </dgm:constrLst>
              <dgm:ruleLst/>
              <dgm:layoutNode name="h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44"/>
        </dgm:choose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1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17" Type="http://schemas.openxmlformats.org/officeDocument/2006/relationships/diagramLayout" Target="../diagrams/layout4.xml"/><Relationship Id="rId2" Type="http://schemas.openxmlformats.org/officeDocument/2006/relationships/diagramLayout" Target="../diagrams/layout1.xml"/><Relationship Id="rId16" Type="http://schemas.openxmlformats.org/officeDocument/2006/relationships/diagramData" Target="../diagrams/data4.xml"/><Relationship Id="rId20" Type="http://schemas.microsoft.com/office/2007/relationships/diagramDrawing" Target="../diagrams/drawing4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19" Type="http://schemas.openxmlformats.org/officeDocument/2006/relationships/diagramColors" Target="../diagrams/colors4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171450</xdr:rowOff>
    </xdr:from>
    <xdr:to>
      <xdr:col>6</xdr:col>
      <xdr:colOff>419100</xdr:colOff>
      <xdr:row>17</xdr:row>
      <xdr:rowOff>133350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BEC49297-D69A-4DA3-BFCB-6EB7A9B94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13</xdr:col>
      <xdr:colOff>19050</xdr:colOff>
      <xdr:row>17</xdr:row>
      <xdr:rowOff>152400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FED20ACC-3692-40B2-A033-5DB1810ED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419100</xdr:colOff>
      <xdr:row>17</xdr:row>
      <xdr:rowOff>152400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1E949949-8448-4763-A723-91F92E99C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0</xdr:col>
      <xdr:colOff>152400</xdr:colOff>
      <xdr:row>19</xdr:row>
      <xdr:rowOff>19050</xdr:rowOff>
    </xdr:from>
    <xdr:to>
      <xdr:col>6</xdr:col>
      <xdr:colOff>266700</xdr:colOff>
      <xdr:row>35</xdr:row>
      <xdr:rowOff>171450</xdr:rowOff>
    </xdr:to>
    <xdr:graphicFrame macro="">
      <xdr:nvGraphicFramePr>
        <xdr:cNvPr id="15" name="Diagram 14">
          <a:extLst>
            <a:ext uri="{FF2B5EF4-FFF2-40B4-BE49-F238E27FC236}">
              <a16:creationId xmlns:a16="http://schemas.microsoft.com/office/drawing/2014/main" id="{0AE9AC13-BA33-4C84-BA5B-D9BFD5D38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3834-ACD0-4A76-A09A-B56F528B3011}">
  <sheetPr codeName="Sheet1"/>
  <dimension ref="I25:J26"/>
  <sheetViews>
    <sheetView topLeftCell="I2" workbookViewId="0">
      <selection activeCell="O22" sqref="O22"/>
    </sheetView>
  </sheetViews>
  <sheetFormatPr defaultRowHeight="15" x14ac:dyDescent="0.25"/>
  <sheetData>
    <row r="25" spans="9:10" x14ac:dyDescent="0.25">
      <c r="I25" t="s">
        <v>86</v>
      </c>
      <c r="J25" t="s">
        <v>82</v>
      </c>
    </row>
    <row r="26" spans="9:10" x14ac:dyDescent="0.25">
      <c r="I26" t="s">
        <v>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59"/>
  <sheetViews>
    <sheetView tabSelected="1" workbookViewId="0">
      <selection activeCell="D1" sqref="D1:D2"/>
    </sheetView>
  </sheetViews>
  <sheetFormatPr defaultRowHeight="15" x14ac:dyDescent="0.25"/>
  <cols>
    <col min="1" max="1" width="21.140625" bestFit="1" customWidth="1"/>
    <col min="2" max="2" width="20.5703125" bestFit="1" customWidth="1"/>
    <col min="3" max="3" width="9.85546875" style="10" bestFit="1" customWidth="1"/>
    <col min="4" max="4" width="5.5703125" bestFit="1" customWidth="1"/>
    <col min="5" max="5" width="6" style="10" bestFit="1" customWidth="1"/>
    <col min="6" max="6" width="6.7109375" style="10" bestFit="1" customWidth="1"/>
    <col min="7" max="11" width="9.7109375" style="10" bestFit="1" customWidth="1"/>
    <col min="12" max="12" width="5" bestFit="1" customWidth="1"/>
    <col min="13" max="13" width="19.85546875" bestFit="1" customWidth="1"/>
  </cols>
  <sheetData>
    <row r="1" spans="1:11" x14ac:dyDescent="0.25">
      <c r="A1" s="21" t="s">
        <v>5</v>
      </c>
      <c r="B1" s="21" t="s">
        <v>119</v>
      </c>
      <c r="C1" s="21" t="s">
        <v>23</v>
      </c>
      <c r="D1" s="21" t="s">
        <v>83</v>
      </c>
      <c r="E1" s="21" t="s">
        <v>10</v>
      </c>
      <c r="F1" s="21" t="s">
        <v>4</v>
      </c>
      <c r="G1" s="22" t="s">
        <v>7</v>
      </c>
      <c r="H1" s="22"/>
      <c r="I1" s="22"/>
      <c r="J1" s="22"/>
      <c r="K1" s="22"/>
    </row>
    <row r="2" spans="1:11" x14ac:dyDescent="0.25">
      <c r="A2" s="21"/>
      <c r="B2" s="21"/>
      <c r="C2" s="21"/>
      <c r="D2" s="21"/>
      <c r="E2" s="21"/>
      <c r="F2" s="21"/>
      <c r="G2" s="1" t="s">
        <v>81</v>
      </c>
      <c r="H2" s="1" t="s">
        <v>82</v>
      </c>
      <c r="I2" s="1" t="s">
        <v>17</v>
      </c>
      <c r="J2" s="1" t="s">
        <v>18</v>
      </c>
      <c r="K2" s="1" t="s">
        <v>16</v>
      </c>
    </row>
    <row r="3" spans="1:11" x14ac:dyDescent="0.25">
      <c r="A3" t="s">
        <v>0</v>
      </c>
      <c r="B3" t="s">
        <v>114</v>
      </c>
      <c r="C3" s="12" t="s">
        <v>29</v>
      </c>
      <c r="E3" s="10">
        <v>12800</v>
      </c>
      <c r="F3" s="10">
        <v>2022</v>
      </c>
      <c r="G3" s="1">
        <v>14000</v>
      </c>
      <c r="H3" s="1">
        <v>13500</v>
      </c>
      <c r="I3" s="1">
        <v>14300</v>
      </c>
      <c r="J3" s="1">
        <v>13500</v>
      </c>
      <c r="K3" s="1">
        <v>14800</v>
      </c>
    </row>
    <row r="4" spans="1:11" x14ac:dyDescent="0.25">
      <c r="A4" t="s">
        <v>1</v>
      </c>
      <c r="B4" t="s">
        <v>117</v>
      </c>
      <c r="C4" s="10" t="s">
        <v>30</v>
      </c>
      <c r="E4" s="10">
        <v>15500</v>
      </c>
      <c r="F4" s="10">
        <v>2019</v>
      </c>
      <c r="G4" s="1" t="s">
        <v>85</v>
      </c>
      <c r="H4" s="1" t="s">
        <v>85</v>
      </c>
      <c r="I4" s="1" t="s">
        <v>85</v>
      </c>
      <c r="J4" s="1" t="s">
        <v>85</v>
      </c>
      <c r="K4" s="1" t="s">
        <v>85</v>
      </c>
    </row>
    <row r="5" spans="1:11" x14ac:dyDescent="0.25">
      <c r="A5" t="s">
        <v>2</v>
      </c>
      <c r="B5" t="s">
        <v>100</v>
      </c>
      <c r="C5" s="12" t="s">
        <v>29</v>
      </c>
      <c r="E5" s="10">
        <v>9700</v>
      </c>
      <c r="F5" s="10">
        <v>2022</v>
      </c>
      <c r="G5" s="1">
        <v>11500</v>
      </c>
      <c r="H5" s="1">
        <v>11000</v>
      </c>
      <c r="I5" s="1"/>
      <c r="J5" s="1"/>
      <c r="K5" s="1">
        <v>12000</v>
      </c>
    </row>
    <row r="6" spans="1:11" x14ac:dyDescent="0.25">
      <c r="A6" t="s">
        <v>2</v>
      </c>
      <c r="C6" s="10" t="s">
        <v>30</v>
      </c>
      <c r="E6" s="10">
        <v>8700</v>
      </c>
      <c r="F6" s="10">
        <v>2021</v>
      </c>
      <c r="G6" s="1">
        <v>9500</v>
      </c>
      <c r="H6" s="1">
        <v>9000</v>
      </c>
      <c r="I6" s="1">
        <v>9000</v>
      </c>
      <c r="J6" s="1"/>
      <c r="K6" s="1">
        <v>10000</v>
      </c>
    </row>
    <row r="7" spans="1:11" x14ac:dyDescent="0.25">
      <c r="A7" t="s">
        <v>39</v>
      </c>
      <c r="B7" t="s">
        <v>116</v>
      </c>
      <c r="C7" s="10" t="s">
        <v>30</v>
      </c>
      <c r="E7" s="10">
        <v>15000</v>
      </c>
      <c r="F7" s="10">
        <v>2022</v>
      </c>
      <c r="G7" s="1">
        <v>16000</v>
      </c>
      <c r="H7" s="1">
        <v>15500</v>
      </c>
      <c r="I7" s="1">
        <v>16000</v>
      </c>
      <c r="J7" s="1"/>
      <c r="K7" s="1">
        <v>17000</v>
      </c>
    </row>
    <row r="8" spans="1:11" x14ac:dyDescent="0.25">
      <c r="A8" t="s">
        <v>25</v>
      </c>
      <c r="C8" s="10" t="s">
        <v>30</v>
      </c>
      <c r="E8" s="10">
        <v>10100</v>
      </c>
      <c r="F8" s="10">
        <v>2023</v>
      </c>
      <c r="G8" s="1">
        <v>12000</v>
      </c>
      <c r="H8" s="1">
        <v>11500</v>
      </c>
      <c r="I8" s="1">
        <v>12000</v>
      </c>
      <c r="J8" s="1"/>
      <c r="K8" s="1">
        <v>12200</v>
      </c>
    </row>
    <row r="9" spans="1:11" x14ac:dyDescent="0.25">
      <c r="A9" t="s">
        <v>24</v>
      </c>
      <c r="B9" t="s">
        <v>108</v>
      </c>
      <c r="C9" s="12" t="s">
        <v>29</v>
      </c>
      <c r="E9" s="10">
        <v>15500</v>
      </c>
      <c r="F9" s="10">
        <v>2023</v>
      </c>
      <c r="G9" s="1">
        <v>17000</v>
      </c>
      <c r="H9" s="1">
        <v>16500</v>
      </c>
      <c r="I9" s="1">
        <v>17300</v>
      </c>
      <c r="J9" s="1"/>
      <c r="K9" s="1">
        <v>18000</v>
      </c>
    </row>
    <row r="10" spans="1:11" x14ac:dyDescent="0.25">
      <c r="A10" t="s">
        <v>75</v>
      </c>
      <c r="B10" t="s">
        <v>110</v>
      </c>
      <c r="C10" s="12" t="s">
        <v>29</v>
      </c>
      <c r="E10" s="10">
        <v>17800</v>
      </c>
      <c r="F10" s="10">
        <v>2023</v>
      </c>
      <c r="G10" s="1">
        <v>19000</v>
      </c>
      <c r="H10" s="1">
        <v>19000</v>
      </c>
      <c r="I10" s="1">
        <v>19000</v>
      </c>
      <c r="J10" s="1">
        <v>19000</v>
      </c>
      <c r="K10" s="1">
        <v>20000</v>
      </c>
    </row>
    <row r="11" spans="1:11" x14ac:dyDescent="0.25">
      <c r="A11" t="s">
        <v>3</v>
      </c>
      <c r="B11" t="s">
        <v>99</v>
      </c>
      <c r="C11" s="15" t="s">
        <v>48</v>
      </c>
      <c r="E11" s="10">
        <v>12000</v>
      </c>
      <c r="F11" s="10">
        <v>2023</v>
      </c>
      <c r="G11" s="1" t="s">
        <v>85</v>
      </c>
      <c r="H11" s="1" t="s">
        <v>85</v>
      </c>
      <c r="I11" s="1" t="s">
        <v>85</v>
      </c>
      <c r="J11" s="1" t="s">
        <v>85</v>
      </c>
      <c r="K11" s="1" t="s">
        <v>85</v>
      </c>
    </row>
    <row r="12" spans="1:11" x14ac:dyDescent="0.25">
      <c r="A12" t="s">
        <v>26</v>
      </c>
      <c r="B12" t="s">
        <v>97</v>
      </c>
      <c r="C12" s="10" t="s">
        <v>30</v>
      </c>
      <c r="E12" s="10">
        <v>12300</v>
      </c>
      <c r="F12" s="10">
        <v>2021</v>
      </c>
      <c r="G12" s="1">
        <v>13500</v>
      </c>
      <c r="H12" s="1">
        <v>13000</v>
      </c>
      <c r="I12" s="1">
        <v>13000</v>
      </c>
      <c r="J12" s="1">
        <v>13000</v>
      </c>
      <c r="K12" s="1">
        <v>13500</v>
      </c>
    </row>
    <row r="13" spans="1:11" x14ac:dyDescent="0.25">
      <c r="A13" t="s">
        <v>27</v>
      </c>
      <c r="B13" t="s">
        <v>96</v>
      </c>
      <c r="C13" s="10" t="s">
        <v>30</v>
      </c>
      <c r="E13" s="10">
        <v>10700</v>
      </c>
      <c r="F13" s="10">
        <v>2019</v>
      </c>
      <c r="G13" s="1">
        <v>12000</v>
      </c>
      <c r="H13" s="1">
        <v>11700</v>
      </c>
      <c r="I13" s="1">
        <v>11700</v>
      </c>
      <c r="J13" s="1">
        <v>11700</v>
      </c>
      <c r="K13" s="1">
        <v>12000</v>
      </c>
    </row>
    <row r="14" spans="1:11" x14ac:dyDescent="0.25">
      <c r="A14" t="s">
        <v>27</v>
      </c>
      <c r="B14" t="s">
        <v>106</v>
      </c>
      <c r="C14" s="10" t="s">
        <v>30</v>
      </c>
      <c r="E14" s="10">
        <v>11500</v>
      </c>
      <c r="F14" s="10">
        <v>2021</v>
      </c>
      <c r="G14" s="1">
        <v>13500</v>
      </c>
      <c r="H14" s="1">
        <v>13000</v>
      </c>
      <c r="I14" s="1">
        <v>13000</v>
      </c>
      <c r="J14" s="1">
        <v>13000</v>
      </c>
      <c r="K14" s="1">
        <v>14000</v>
      </c>
    </row>
    <row r="15" spans="1:11" x14ac:dyDescent="0.25">
      <c r="A15" t="s">
        <v>28</v>
      </c>
      <c r="B15" t="s">
        <v>103</v>
      </c>
      <c r="C15" s="13" t="s">
        <v>30</v>
      </c>
      <c r="D15" s="10" t="s">
        <v>46</v>
      </c>
      <c r="E15" s="10">
        <v>8250</v>
      </c>
      <c r="F15" s="10">
        <v>2022</v>
      </c>
      <c r="G15" s="1">
        <v>9500</v>
      </c>
      <c r="H15" s="1">
        <v>9000</v>
      </c>
      <c r="I15" s="1">
        <v>9000</v>
      </c>
      <c r="J15" s="1">
        <v>9000</v>
      </c>
      <c r="K15" s="1">
        <v>11000</v>
      </c>
    </row>
    <row r="16" spans="1:11" x14ac:dyDescent="0.25">
      <c r="A16" t="s">
        <v>33</v>
      </c>
      <c r="B16" t="s">
        <v>115</v>
      </c>
      <c r="C16" s="14" t="s">
        <v>34</v>
      </c>
      <c r="D16" s="10" t="s">
        <v>46</v>
      </c>
      <c r="E16" s="10">
        <v>16700</v>
      </c>
      <c r="F16" s="10">
        <v>2023</v>
      </c>
      <c r="G16" s="1">
        <v>18500</v>
      </c>
      <c r="H16" s="1">
        <v>17500</v>
      </c>
      <c r="I16" s="1">
        <v>18000</v>
      </c>
      <c r="J16" s="1">
        <v>17500</v>
      </c>
      <c r="K16" s="1">
        <v>19000</v>
      </c>
    </row>
    <row r="17" spans="1:12" x14ac:dyDescent="0.25">
      <c r="A17" t="s">
        <v>35</v>
      </c>
      <c r="B17" t="s">
        <v>101</v>
      </c>
      <c r="C17" s="15" t="s">
        <v>48</v>
      </c>
      <c r="D17" s="10" t="s">
        <v>46</v>
      </c>
      <c r="E17" s="10">
        <v>13250</v>
      </c>
      <c r="F17" s="10">
        <v>2024</v>
      </c>
      <c r="G17" s="1">
        <v>14500</v>
      </c>
      <c r="H17" s="1">
        <v>14500</v>
      </c>
      <c r="I17" s="1">
        <v>14500</v>
      </c>
      <c r="J17" s="1">
        <v>14500</v>
      </c>
      <c r="K17" s="1">
        <v>15000</v>
      </c>
    </row>
    <row r="18" spans="1:12" x14ac:dyDescent="0.25">
      <c r="A18" t="s">
        <v>36</v>
      </c>
      <c r="B18" t="s">
        <v>93</v>
      </c>
      <c r="C18" s="16" t="s">
        <v>37</v>
      </c>
      <c r="D18" s="10"/>
      <c r="E18" s="10">
        <v>18000</v>
      </c>
      <c r="F18" s="10">
        <v>2023</v>
      </c>
      <c r="G18" s="1">
        <v>20500</v>
      </c>
      <c r="H18" s="1">
        <v>20000</v>
      </c>
      <c r="I18" s="1">
        <v>20000</v>
      </c>
      <c r="J18" s="1">
        <v>20000</v>
      </c>
      <c r="K18" s="1">
        <v>20500</v>
      </c>
    </row>
    <row r="19" spans="1:12" x14ac:dyDescent="0.25">
      <c r="A19" t="s">
        <v>69</v>
      </c>
      <c r="B19" t="s">
        <v>109</v>
      </c>
      <c r="C19" s="17" t="s">
        <v>44</v>
      </c>
      <c r="D19" s="10" t="s">
        <v>46</v>
      </c>
      <c r="E19" s="10">
        <v>22000</v>
      </c>
      <c r="F19" s="10">
        <v>2023</v>
      </c>
      <c r="G19" s="1">
        <v>25000</v>
      </c>
      <c r="H19" s="1">
        <v>24000</v>
      </c>
      <c r="I19" s="1">
        <v>25000</v>
      </c>
      <c r="J19" s="1">
        <v>24000</v>
      </c>
      <c r="K19" s="1">
        <v>25000</v>
      </c>
    </row>
    <row r="20" spans="1:12" x14ac:dyDescent="0.25">
      <c r="A20" t="s">
        <v>47</v>
      </c>
      <c r="B20" t="s">
        <v>98</v>
      </c>
      <c r="C20" s="18" t="s">
        <v>45</v>
      </c>
      <c r="D20" s="10" t="s">
        <v>46</v>
      </c>
      <c r="E20" s="10">
        <v>13000</v>
      </c>
      <c r="F20" s="10">
        <v>2023</v>
      </c>
      <c r="G20" s="1">
        <v>15000</v>
      </c>
      <c r="H20" s="1">
        <v>14500</v>
      </c>
      <c r="I20" s="1">
        <v>14500</v>
      </c>
      <c r="J20" s="1">
        <v>14500</v>
      </c>
      <c r="K20" s="1">
        <v>15000</v>
      </c>
    </row>
    <row r="21" spans="1:12" x14ac:dyDescent="0.25">
      <c r="A21" t="s">
        <v>41</v>
      </c>
      <c r="B21" t="s">
        <v>102</v>
      </c>
      <c r="C21" s="10" t="s">
        <v>30</v>
      </c>
      <c r="D21" s="10"/>
      <c r="E21" s="10">
        <v>11300</v>
      </c>
      <c r="F21" s="10">
        <v>2020</v>
      </c>
      <c r="G21" s="1">
        <v>12500</v>
      </c>
      <c r="H21" s="1">
        <v>12000</v>
      </c>
      <c r="I21" s="1">
        <v>12000</v>
      </c>
      <c r="J21" s="1">
        <v>12000</v>
      </c>
      <c r="K21" s="1">
        <v>13000</v>
      </c>
    </row>
    <row r="22" spans="1:12" x14ac:dyDescent="0.25">
      <c r="A22" t="s">
        <v>40</v>
      </c>
      <c r="B22" t="s">
        <v>89</v>
      </c>
      <c r="C22" s="10" t="s">
        <v>30</v>
      </c>
      <c r="D22" s="10"/>
      <c r="E22" s="10">
        <v>10350</v>
      </c>
      <c r="F22" s="10">
        <v>2020</v>
      </c>
      <c r="G22" s="1">
        <v>12500</v>
      </c>
      <c r="H22" s="1">
        <v>12500</v>
      </c>
      <c r="I22" s="1">
        <v>12500</v>
      </c>
      <c r="J22" s="1">
        <v>12500</v>
      </c>
      <c r="K22" s="1">
        <v>12500</v>
      </c>
    </row>
    <row r="23" spans="1:12" x14ac:dyDescent="0.25">
      <c r="A23" t="s">
        <v>71</v>
      </c>
      <c r="B23" t="s">
        <v>95</v>
      </c>
      <c r="C23" s="19" t="s">
        <v>32</v>
      </c>
      <c r="D23" s="10"/>
      <c r="E23" s="10">
        <v>14250</v>
      </c>
      <c r="F23" s="10">
        <v>2022</v>
      </c>
      <c r="G23" s="1">
        <v>16500</v>
      </c>
      <c r="H23" s="1">
        <v>16000</v>
      </c>
      <c r="I23" s="1">
        <v>16000</v>
      </c>
      <c r="J23" s="1">
        <v>16000</v>
      </c>
      <c r="K23" s="1">
        <v>16500</v>
      </c>
    </row>
    <row r="24" spans="1:12" x14ac:dyDescent="0.25">
      <c r="A24" t="s">
        <v>72</v>
      </c>
      <c r="B24" t="s">
        <v>104</v>
      </c>
      <c r="C24" s="10" t="s">
        <v>42</v>
      </c>
      <c r="D24" s="10" t="s">
        <v>46</v>
      </c>
      <c r="E24" s="10">
        <v>9500</v>
      </c>
      <c r="F24" s="10">
        <v>2024</v>
      </c>
      <c r="G24" s="1">
        <v>11500</v>
      </c>
      <c r="H24" s="1">
        <v>11000</v>
      </c>
      <c r="I24" s="1">
        <v>11000</v>
      </c>
      <c r="J24" s="1">
        <v>11000</v>
      </c>
      <c r="K24" s="1">
        <v>11500</v>
      </c>
    </row>
    <row r="25" spans="1:12" x14ac:dyDescent="0.25">
      <c r="A25" t="s">
        <v>73</v>
      </c>
      <c r="B25" t="s">
        <v>92</v>
      </c>
      <c r="C25" s="10" t="s">
        <v>42</v>
      </c>
      <c r="D25" s="10" t="s">
        <v>46</v>
      </c>
      <c r="E25" s="10">
        <v>13200</v>
      </c>
      <c r="F25" s="10">
        <v>2023</v>
      </c>
      <c r="G25" s="1">
        <v>15000</v>
      </c>
      <c r="H25" s="1">
        <v>14500</v>
      </c>
      <c r="I25" s="1">
        <v>15000</v>
      </c>
      <c r="J25" s="1">
        <v>14500</v>
      </c>
      <c r="K25" s="1">
        <v>15000</v>
      </c>
    </row>
    <row r="26" spans="1:12" x14ac:dyDescent="0.25">
      <c r="A26" t="s">
        <v>74</v>
      </c>
      <c r="B26" t="s">
        <v>105</v>
      </c>
      <c r="C26" s="19" t="s">
        <v>32</v>
      </c>
      <c r="D26" s="10" t="s">
        <v>46</v>
      </c>
      <c r="E26" s="10">
        <v>8700</v>
      </c>
      <c r="F26" s="10">
        <v>2022</v>
      </c>
      <c r="G26" s="1">
        <v>11000</v>
      </c>
      <c r="H26" s="1">
        <v>10000</v>
      </c>
      <c r="I26" s="1">
        <v>10500</v>
      </c>
      <c r="J26" s="1">
        <v>0</v>
      </c>
      <c r="K26" s="1">
        <v>11000</v>
      </c>
    </row>
    <row r="27" spans="1:12" x14ac:dyDescent="0.25">
      <c r="A27" t="s">
        <v>72</v>
      </c>
      <c r="C27" s="20" t="s">
        <v>31</v>
      </c>
      <c r="D27" s="10"/>
      <c r="E27" s="10">
        <v>7700</v>
      </c>
      <c r="F27" s="10">
        <v>2022</v>
      </c>
    </row>
    <row r="28" spans="1:12" x14ac:dyDescent="0.25">
      <c r="A28" t="s">
        <v>77</v>
      </c>
      <c r="B28" t="s">
        <v>107</v>
      </c>
      <c r="C28" s="10" t="s">
        <v>42</v>
      </c>
      <c r="D28" s="10"/>
      <c r="E28" s="10">
        <v>8700</v>
      </c>
      <c r="F28" s="10">
        <v>2019</v>
      </c>
      <c r="G28" s="1">
        <v>12000</v>
      </c>
      <c r="H28" s="1">
        <v>12000</v>
      </c>
      <c r="I28" s="1">
        <v>12000</v>
      </c>
      <c r="J28" s="1">
        <v>12000</v>
      </c>
      <c r="K28" s="1">
        <v>13000</v>
      </c>
    </row>
    <row r="29" spans="1:12" x14ac:dyDescent="0.25">
      <c r="A29" t="s">
        <v>78</v>
      </c>
      <c r="B29" t="s">
        <v>113</v>
      </c>
      <c r="C29" s="19" t="s">
        <v>32</v>
      </c>
      <c r="D29" s="10" t="s">
        <v>46</v>
      </c>
      <c r="F29" s="10">
        <v>2026</v>
      </c>
    </row>
    <row r="30" spans="1:12" x14ac:dyDescent="0.25">
      <c r="A30" t="s">
        <v>80</v>
      </c>
      <c r="B30" t="s">
        <v>111</v>
      </c>
      <c r="C30" s="10" t="s">
        <v>30</v>
      </c>
      <c r="D30" s="10" t="s">
        <v>46</v>
      </c>
      <c r="E30" s="10">
        <v>24250</v>
      </c>
      <c r="F30" s="10">
        <v>2024</v>
      </c>
    </row>
    <row r="31" spans="1:12" x14ac:dyDescent="0.25">
      <c r="A31" t="s">
        <v>79</v>
      </c>
      <c r="B31" t="s">
        <v>112</v>
      </c>
      <c r="C31" s="19" t="s">
        <v>32</v>
      </c>
      <c r="D31" s="10"/>
      <c r="E31" s="10">
        <v>22000</v>
      </c>
      <c r="F31" s="10">
        <v>2022</v>
      </c>
    </row>
    <row r="32" spans="1:12" x14ac:dyDescent="0.25">
      <c r="A32" t="s">
        <v>87</v>
      </c>
      <c r="B32">
        <v>0</v>
      </c>
      <c r="C32" s="19" t="s">
        <v>32</v>
      </c>
      <c r="D32" s="10" t="s">
        <v>46</v>
      </c>
      <c r="E32" s="10">
        <v>17500</v>
      </c>
      <c r="F32" s="10">
        <v>2026</v>
      </c>
      <c r="G32" s="10" t="s">
        <v>85</v>
      </c>
      <c r="H32" s="10">
        <v>19500</v>
      </c>
      <c r="I32" s="10" t="s">
        <v>85</v>
      </c>
      <c r="J32" s="10" t="s">
        <v>85</v>
      </c>
      <c r="K32" s="10" t="s">
        <v>85</v>
      </c>
      <c r="L32">
        <v>2600</v>
      </c>
    </row>
    <row r="33" spans="1:12" x14ac:dyDescent="0.25">
      <c r="A33" t="s">
        <v>87</v>
      </c>
      <c r="B33">
        <v>0</v>
      </c>
      <c r="C33" s="19" t="s">
        <v>32</v>
      </c>
      <c r="D33" s="10" t="s">
        <v>46</v>
      </c>
      <c r="E33" s="10">
        <v>16500</v>
      </c>
      <c r="F33" s="10">
        <v>2026</v>
      </c>
      <c r="G33" s="10" t="s">
        <v>85</v>
      </c>
      <c r="H33" s="10">
        <v>18500</v>
      </c>
      <c r="I33" s="10" t="s">
        <v>85</v>
      </c>
      <c r="J33" s="10" t="s">
        <v>85</v>
      </c>
      <c r="K33" s="10" t="s">
        <v>85</v>
      </c>
      <c r="L33">
        <v>2600</v>
      </c>
    </row>
    <row r="34" spans="1:12" x14ac:dyDescent="0.25">
      <c r="A34" t="s">
        <v>87</v>
      </c>
      <c r="B34">
        <v>0</v>
      </c>
      <c r="C34" s="10" t="s">
        <v>30</v>
      </c>
      <c r="D34" s="10" t="s">
        <v>46</v>
      </c>
      <c r="E34" s="10">
        <v>14500</v>
      </c>
      <c r="F34" s="10">
        <v>2023</v>
      </c>
      <c r="G34" s="10" t="s">
        <v>85</v>
      </c>
      <c r="H34" s="10">
        <v>16500</v>
      </c>
      <c r="I34" s="10" t="s">
        <v>85</v>
      </c>
      <c r="J34" s="10" t="s">
        <v>85</v>
      </c>
      <c r="K34" s="10" t="s">
        <v>85</v>
      </c>
      <c r="L34">
        <v>2000</v>
      </c>
    </row>
    <row r="35" spans="1:12" x14ac:dyDescent="0.25">
      <c r="A35" t="s">
        <v>87</v>
      </c>
      <c r="B35">
        <v>0</v>
      </c>
      <c r="C35" s="10" t="s">
        <v>30</v>
      </c>
      <c r="D35" s="10" t="s">
        <v>46</v>
      </c>
      <c r="E35" s="10">
        <v>13000</v>
      </c>
      <c r="F35" s="10">
        <v>2022</v>
      </c>
      <c r="G35" s="10" t="s">
        <v>85</v>
      </c>
      <c r="H35" s="10">
        <v>15000</v>
      </c>
      <c r="I35" s="10" t="s">
        <v>85</v>
      </c>
      <c r="J35" s="10" t="s">
        <v>85</v>
      </c>
      <c r="K35" s="10" t="s">
        <v>85</v>
      </c>
    </row>
    <row r="36" spans="1:12" x14ac:dyDescent="0.25">
      <c r="A36" t="s">
        <v>88</v>
      </c>
      <c r="B36" t="s">
        <v>91</v>
      </c>
      <c r="C36" s="10" t="s">
        <v>118</v>
      </c>
      <c r="D36" s="10" t="s">
        <v>46</v>
      </c>
      <c r="E36" s="10">
        <v>22000</v>
      </c>
      <c r="F36" s="10">
        <v>2025</v>
      </c>
    </row>
    <row r="37" spans="1:12" x14ac:dyDescent="0.25">
      <c r="A37" t="s">
        <v>120</v>
      </c>
      <c r="B37" t="s">
        <v>94</v>
      </c>
      <c r="C37" s="10" t="s">
        <v>30</v>
      </c>
      <c r="D37" s="10" t="s">
        <v>46</v>
      </c>
      <c r="F37" s="10">
        <v>2025</v>
      </c>
    </row>
    <row r="58" spans="13:13" x14ac:dyDescent="0.25">
      <c r="M58" t="s">
        <v>117</v>
      </c>
    </row>
    <row r="59" spans="13:13" x14ac:dyDescent="0.25">
      <c r="M59" t="s">
        <v>90</v>
      </c>
    </row>
  </sheetData>
  <mergeCells count="7">
    <mergeCell ref="A1:A2"/>
    <mergeCell ref="F1:F2"/>
    <mergeCell ref="G1:K1"/>
    <mergeCell ref="E1:E2"/>
    <mergeCell ref="C1:C2"/>
    <mergeCell ref="B1:B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3678-6F3A-4242-BDE5-E1E88E6383A9}">
  <sheetPr codeName="Sheet3"/>
  <dimension ref="A1:S65"/>
  <sheetViews>
    <sheetView topLeftCell="A12" workbookViewId="0">
      <selection activeCell="H30" sqref="H30"/>
    </sheetView>
  </sheetViews>
  <sheetFormatPr defaultRowHeight="15" x14ac:dyDescent="0.25"/>
  <cols>
    <col min="1" max="1" width="21.140625" style="1" bestFit="1" customWidth="1"/>
    <col min="2" max="2" width="10.5703125" style="1" bestFit="1" customWidth="1"/>
    <col min="3" max="3" width="6.42578125" style="1" bestFit="1" customWidth="1"/>
    <col min="4" max="4" width="6.7109375" style="1" bestFit="1" customWidth="1"/>
    <col min="5" max="5" width="13.28515625" style="1" bestFit="1" customWidth="1"/>
    <col min="6" max="7" width="6" style="1" bestFit="1" customWidth="1"/>
    <col min="8" max="8" width="9.7109375" style="1" bestFit="1" customWidth="1"/>
    <col min="9" max="9" width="5" style="1" bestFit="1" customWidth="1"/>
    <col min="10" max="10" width="10.42578125" style="1" bestFit="1" customWidth="1"/>
    <col min="11" max="11" width="8.140625" style="1" bestFit="1" customWidth="1"/>
    <col min="12" max="12" width="12.140625" style="1" bestFit="1" customWidth="1"/>
    <col min="13" max="13" width="7.42578125" bestFit="1" customWidth="1"/>
  </cols>
  <sheetData>
    <row r="1" spans="1:19" ht="46.5" customHeight="1" x14ac:dyDescent="0.25">
      <c r="A1" s="24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3" t="s">
        <v>21</v>
      </c>
      <c r="N1" s="23" t="s">
        <v>49</v>
      </c>
      <c r="O1" s="23"/>
      <c r="P1" s="23"/>
      <c r="Q1" s="23"/>
      <c r="R1" s="23"/>
      <c r="S1" s="23"/>
    </row>
    <row r="2" spans="1:19" x14ac:dyDescent="0.25">
      <c r="A2" s="21" t="s">
        <v>5</v>
      </c>
      <c r="B2" s="21" t="s">
        <v>38</v>
      </c>
      <c r="C2" s="21" t="s">
        <v>22</v>
      </c>
      <c r="D2" s="21" t="s">
        <v>4</v>
      </c>
      <c r="E2" s="21" t="s">
        <v>12</v>
      </c>
      <c r="F2" s="21" t="s">
        <v>10</v>
      </c>
      <c r="G2" s="21" t="s">
        <v>6</v>
      </c>
      <c r="H2" s="21" t="s">
        <v>7</v>
      </c>
      <c r="I2" s="21" t="s">
        <v>13</v>
      </c>
      <c r="J2" s="21" t="s">
        <v>8</v>
      </c>
      <c r="K2" s="21" t="s">
        <v>9</v>
      </c>
      <c r="L2" s="21" t="s">
        <v>14</v>
      </c>
      <c r="M2" s="22"/>
      <c r="N2" s="21" t="s">
        <v>54</v>
      </c>
      <c r="O2" s="21"/>
      <c r="P2" s="21"/>
      <c r="Q2" s="21"/>
      <c r="R2" s="21"/>
      <c r="S2" s="21"/>
    </row>
    <row r="3" spans="1:19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1"/>
      <c r="O3" s="21"/>
      <c r="P3" s="21"/>
      <c r="Q3" s="21"/>
      <c r="R3" s="21"/>
      <c r="S3" s="21"/>
    </row>
    <row r="4" spans="1:19" x14ac:dyDescent="0.25">
      <c r="A4" s="1" t="str">
        <f>المخزون!A3</f>
        <v>BYD Dolphyn</v>
      </c>
      <c r="B4" s="1" t="str">
        <f>المخزون!C3</f>
        <v>Grey</v>
      </c>
      <c r="C4" s="1">
        <f>المخزون!D3</f>
        <v>0</v>
      </c>
      <c r="D4" s="1">
        <f>المخزون!F3</f>
        <v>2022</v>
      </c>
      <c r="E4" s="7">
        <v>1000</v>
      </c>
      <c r="F4" s="7">
        <f>المخزون!E3</f>
        <v>12800</v>
      </c>
      <c r="G4" s="7">
        <f>E4+F4</f>
        <v>13800</v>
      </c>
      <c r="H4" s="1">
        <f>المخزون!G3</f>
        <v>14000</v>
      </c>
      <c r="I4" s="8">
        <v>0.85</v>
      </c>
      <c r="J4" s="7">
        <f>H4*I4</f>
        <v>11900</v>
      </c>
      <c r="K4" s="7">
        <v>1200</v>
      </c>
      <c r="L4" s="9">
        <f>(G4+K4)-J4</f>
        <v>3100</v>
      </c>
      <c r="N4" s="21" t="s">
        <v>70</v>
      </c>
      <c r="O4" s="21"/>
      <c r="P4" s="21"/>
      <c r="Q4" s="21"/>
      <c r="R4" s="21"/>
      <c r="S4" s="21"/>
    </row>
    <row r="5" spans="1:19" x14ac:dyDescent="0.25">
      <c r="A5" s="1" t="str">
        <f>المخزون!A4</f>
        <v>Hyundai Enciano</v>
      </c>
      <c r="B5" s="1" t="str">
        <f>المخزون!C4</f>
        <v>White</v>
      </c>
      <c r="C5" s="1">
        <f>المخزون!D4</f>
        <v>0</v>
      </c>
      <c r="D5" s="1">
        <f>المخزون!F4</f>
        <v>2019</v>
      </c>
      <c r="E5" s="7">
        <v>1000</v>
      </c>
      <c r="F5" s="7">
        <f>المخزون!E4</f>
        <v>15500</v>
      </c>
      <c r="G5" s="7">
        <f t="shared" ref="G5:G59" si="0">E5+F5</f>
        <v>16500</v>
      </c>
      <c r="H5" s="1" t="str">
        <f>المخزون!G4</f>
        <v>Cash Only</v>
      </c>
      <c r="I5" s="8">
        <v>0.85</v>
      </c>
      <c r="J5" s="7" t="e">
        <f t="shared" ref="J5:J57" si="1">H5*I5</f>
        <v>#VALUE!</v>
      </c>
      <c r="K5" s="7">
        <v>1200</v>
      </c>
      <c r="L5" s="9" t="e">
        <f t="shared" ref="L5:L61" si="2">(G5+K5)-J5</f>
        <v>#VALUE!</v>
      </c>
      <c r="N5" s="21" t="s">
        <v>51</v>
      </c>
      <c r="O5" s="21"/>
      <c r="P5" s="21"/>
      <c r="Q5" s="21"/>
      <c r="R5" s="21"/>
      <c r="S5" s="21"/>
    </row>
    <row r="6" spans="1:19" x14ac:dyDescent="0.25">
      <c r="A6" s="1" t="str">
        <f>المخزون!A5</f>
        <v>Neta V</v>
      </c>
      <c r="B6" s="1" t="str">
        <f>المخزون!C5</f>
        <v>Grey</v>
      </c>
      <c r="C6" s="1">
        <f>المخزون!D5</f>
        <v>0</v>
      </c>
      <c r="D6" s="1">
        <f>المخزون!F5</f>
        <v>2022</v>
      </c>
      <c r="E6" s="7">
        <v>1000</v>
      </c>
      <c r="F6" s="7">
        <f>المخزون!E5</f>
        <v>9700</v>
      </c>
      <c r="G6" s="7">
        <f t="shared" si="0"/>
        <v>10700</v>
      </c>
      <c r="H6" s="1">
        <f>المخزون!G5</f>
        <v>11500</v>
      </c>
      <c r="I6" s="8">
        <v>0.85</v>
      </c>
      <c r="J6" s="7">
        <f t="shared" si="1"/>
        <v>9775</v>
      </c>
      <c r="K6" s="7">
        <v>1200</v>
      </c>
      <c r="L6" s="9">
        <f t="shared" si="2"/>
        <v>2125</v>
      </c>
      <c r="N6" s="21" t="s">
        <v>52</v>
      </c>
      <c r="O6" s="21"/>
      <c r="P6" s="21"/>
      <c r="Q6" s="21"/>
      <c r="R6" s="21"/>
      <c r="S6" s="21"/>
    </row>
    <row r="7" spans="1:19" x14ac:dyDescent="0.25">
      <c r="A7" s="1" t="str">
        <f>المخزون!A6</f>
        <v>Neta V</v>
      </c>
      <c r="B7" s="1" t="str">
        <f>المخزون!C6</f>
        <v>White</v>
      </c>
      <c r="C7" s="1">
        <f>المخزون!D6</f>
        <v>0</v>
      </c>
      <c r="D7" s="1">
        <f>المخزون!F6</f>
        <v>2021</v>
      </c>
      <c r="E7" s="7">
        <v>1000</v>
      </c>
      <c r="F7" s="7">
        <f>المخزون!E6</f>
        <v>8700</v>
      </c>
      <c r="G7" s="7">
        <f t="shared" si="0"/>
        <v>9700</v>
      </c>
      <c r="H7" s="1">
        <f>المخزون!G6</f>
        <v>9500</v>
      </c>
      <c r="I7" s="8">
        <v>0.85</v>
      </c>
      <c r="J7" s="7">
        <f t="shared" si="1"/>
        <v>8075</v>
      </c>
      <c r="K7" s="7">
        <v>1200</v>
      </c>
      <c r="L7" s="9">
        <f t="shared" si="2"/>
        <v>2825</v>
      </c>
      <c r="N7" s="21" t="s">
        <v>53</v>
      </c>
      <c r="O7" s="21"/>
      <c r="P7" s="21"/>
      <c r="Q7" s="21"/>
      <c r="R7" s="21"/>
      <c r="S7" s="21"/>
    </row>
    <row r="8" spans="1:19" x14ac:dyDescent="0.25">
      <c r="A8" s="1" t="str">
        <f>المخزون!A7</f>
        <v>Neta U / FULL</v>
      </c>
      <c r="B8" s="1" t="str">
        <f>المخزون!C7</f>
        <v>White</v>
      </c>
      <c r="C8" s="1">
        <f>المخزون!D7</f>
        <v>0</v>
      </c>
      <c r="D8" s="1">
        <f>المخزون!F7</f>
        <v>2022</v>
      </c>
      <c r="E8" s="7">
        <v>1000</v>
      </c>
      <c r="F8" s="7">
        <f>المخزون!E7</f>
        <v>15000</v>
      </c>
      <c r="G8" s="7">
        <f t="shared" si="0"/>
        <v>16000</v>
      </c>
      <c r="H8" s="1">
        <f>المخزون!G7</f>
        <v>16000</v>
      </c>
      <c r="I8" s="8">
        <v>0.85</v>
      </c>
      <c r="J8" s="7">
        <f t="shared" si="1"/>
        <v>13600</v>
      </c>
      <c r="K8" s="7">
        <v>1200</v>
      </c>
      <c r="L8" s="9">
        <f t="shared" si="2"/>
        <v>3600</v>
      </c>
      <c r="N8" s="21" t="s">
        <v>67</v>
      </c>
      <c r="O8" s="21"/>
      <c r="P8" s="21"/>
      <c r="Q8" s="21"/>
      <c r="R8" s="21"/>
      <c r="S8" s="21"/>
    </row>
    <row r="9" spans="1:19" x14ac:dyDescent="0.25">
      <c r="A9" s="1" t="str">
        <f>المخزون!A8</f>
        <v>Neta Aya</v>
      </c>
      <c r="B9" s="1" t="str">
        <f>المخزون!C8</f>
        <v>White</v>
      </c>
      <c r="C9" s="1">
        <f>المخزون!D8</f>
        <v>0</v>
      </c>
      <c r="D9" s="1">
        <f>المخزون!F8</f>
        <v>2023</v>
      </c>
      <c r="E9" s="7">
        <v>1000</v>
      </c>
      <c r="F9" s="7">
        <f>المخزون!E8</f>
        <v>10100</v>
      </c>
      <c r="G9" s="7">
        <f t="shared" si="0"/>
        <v>11100</v>
      </c>
      <c r="H9" s="1">
        <f>المخزون!G8</f>
        <v>12000</v>
      </c>
      <c r="I9" s="8">
        <v>0.85</v>
      </c>
      <c r="J9" s="7">
        <f t="shared" si="1"/>
        <v>10200</v>
      </c>
      <c r="K9" s="7">
        <v>1200</v>
      </c>
      <c r="L9" s="9">
        <f t="shared" si="2"/>
        <v>2100</v>
      </c>
      <c r="N9" s="22"/>
      <c r="O9" s="22"/>
      <c r="P9" s="22"/>
      <c r="Q9" s="22"/>
      <c r="R9" s="22"/>
      <c r="S9" s="22"/>
    </row>
    <row r="10" spans="1:19" x14ac:dyDescent="0.25">
      <c r="A10" s="1" t="str">
        <f>المخزون!A9</f>
        <v>Neta X</v>
      </c>
      <c r="B10" s="1" t="str">
        <f>المخزون!C9</f>
        <v>Grey</v>
      </c>
      <c r="C10" s="1">
        <f>المخزون!D9</f>
        <v>0</v>
      </c>
      <c r="D10" s="1">
        <f>المخزون!F9</f>
        <v>2023</v>
      </c>
      <c r="E10" s="7">
        <v>1000</v>
      </c>
      <c r="F10" s="7">
        <f>المخزون!E9</f>
        <v>15500</v>
      </c>
      <c r="G10" s="7">
        <f t="shared" si="0"/>
        <v>16500</v>
      </c>
      <c r="H10" s="1">
        <f>المخزون!G9</f>
        <v>17000</v>
      </c>
      <c r="I10" s="8">
        <v>0.85</v>
      </c>
      <c r="J10" s="7">
        <f t="shared" si="1"/>
        <v>14450</v>
      </c>
      <c r="K10" s="7">
        <v>1200</v>
      </c>
      <c r="L10" s="9">
        <f t="shared" si="2"/>
        <v>3250</v>
      </c>
      <c r="N10" s="22"/>
      <c r="O10" s="22"/>
      <c r="P10" s="22"/>
      <c r="Q10" s="22"/>
      <c r="R10" s="22"/>
      <c r="S10" s="22"/>
    </row>
    <row r="11" spans="1:19" x14ac:dyDescent="0.25">
      <c r="A11" s="1" t="str">
        <f>المخزون!A10</f>
        <v>BYD Yuan Plus</v>
      </c>
      <c r="B11" s="1" t="str">
        <f>المخزون!C10</f>
        <v>Grey</v>
      </c>
      <c r="C11" s="1">
        <f>المخزون!D10</f>
        <v>0</v>
      </c>
      <c r="D11" s="1">
        <f>المخزون!F10</f>
        <v>2023</v>
      </c>
      <c r="E11" s="7">
        <v>1000</v>
      </c>
      <c r="F11" s="7">
        <f>المخزون!E10</f>
        <v>17800</v>
      </c>
      <c r="G11" s="7">
        <f t="shared" si="0"/>
        <v>18800</v>
      </c>
      <c r="H11" s="1">
        <f>المخزون!G10</f>
        <v>19000</v>
      </c>
      <c r="I11" s="8">
        <v>0.85</v>
      </c>
      <c r="J11" s="7">
        <f t="shared" si="1"/>
        <v>16150</v>
      </c>
      <c r="K11" s="7">
        <v>1200</v>
      </c>
      <c r="L11" s="9">
        <f t="shared" si="2"/>
        <v>3850</v>
      </c>
      <c r="N11" s="22"/>
      <c r="O11" s="22"/>
      <c r="P11" s="22"/>
      <c r="Q11" s="22"/>
      <c r="R11" s="22"/>
      <c r="S11" s="22"/>
    </row>
    <row r="12" spans="1:19" x14ac:dyDescent="0.25">
      <c r="A12" s="1" t="str">
        <f>المخزون!A11</f>
        <v>Nammi Box Dong Feng</v>
      </c>
      <c r="B12" s="1" t="str">
        <f>المخزون!C11</f>
        <v>Cream</v>
      </c>
      <c r="C12" s="1">
        <f>المخزون!D11</f>
        <v>0</v>
      </c>
      <c r="D12" s="1">
        <f>المخزون!F11</f>
        <v>2023</v>
      </c>
      <c r="E12" s="7">
        <v>1000</v>
      </c>
      <c r="F12" s="7">
        <f>المخزون!E11</f>
        <v>12000</v>
      </c>
      <c r="G12" s="7">
        <f t="shared" si="0"/>
        <v>13000</v>
      </c>
      <c r="H12" s="1" t="str">
        <f>المخزون!G11</f>
        <v>Cash Only</v>
      </c>
      <c r="I12" s="8">
        <v>0.85</v>
      </c>
      <c r="J12" s="7" t="e">
        <f t="shared" si="1"/>
        <v>#VALUE!</v>
      </c>
      <c r="K12" s="7">
        <v>1200</v>
      </c>
      <c r="L12" s="9" t="e">
        <f t="shared" si="2"/>
        <v>#VALUE!</v>
      </c>
      <c r="N12" s="22"/>
      <c r="O12" s="22"/>
      <c r="P12" s="22"/>
      <c r="Q12" s="22"/>
      <c r="R12" s="22"/>
      <c r="S12" s="22"/>
    </row>
    <row r="13" spans="1:19" x14ac:dyDescent="0.25">
      <c r="A13" s="1" t="str">
        <f>المخزون!A12</f>
        <v>E Golf</v>
      </c>
      <c r="B13" s="1" t="str">
        <f>المخزون!C12</f>
        <v>White</v>
      </c>
      <c r="C13" s="1">
        <f>المخزون!D12</f>
        <v>0</v>
      </c>
      <c r="D13" s="1">
        <f>المخزون!F12</f>
        <v>2021</v>
      </c>
      <c r="E13" s="7">
        <v>1000</v>
      </c>
      <c r="F13" s="7">
        <f>المخزون!E12</f>
        <v>12300</v>
      </c>
      <c r="G13" s="7">
        <f t="shared" si="0"/>
        <v>13300</v>
      </c>
      <c r="H13" s="1">
        <f>المخزون!G12</f>
        <v>13500</v>
      </c>
      <c r="I13" s="8">
        <v>0.85</v>
      </c>
      <c r="J13" s="7">
        <f t="shared" si="1"/>
        <v>11475</v>
      </c>
      <c r="K13" s="7">
        <v>1200</v>
      </c>
      <c r="L13" s="9">
        <f t="shared" si="2"/>
        <v>3025</v>
      </c>
      <c r="N13" s="22"/>
      <c r="O13" s="22"/>
      <c r="P13" s="22"/>
      <c r="Q13" s="22"/>
      <c r="R13" s="22"/>
      <c r="S13" s="22"/>
    </row>
    <row r="14" spans="1:19" x14ac:dyDescent="0.25">
      <c r="A14" s="1" t="str">
        <f>المخزون!A13</f>
        <v>LaVida</v>
      </c>
      <c r="B14" s="1" t="str">
        <f>المخزون!C13</f>
        <v>White</v>
      </c>
      <c r="C14" s="1">
        <f>المخزون!D13</f>
        <v>0</v>
      </c>
      <c r="D14" s="1">
        <f>المخزون!F13</f>
        <v>2019</v>
      </c>
      <c r="E14" s="7">
        <v>1000</v>
      </c>
      <c r="F14" s="7">
        <f>المخزون!E13</f>
        <v>10700</v>
      </c>
      <c r="G14" s="7">
        <f t="shared" si="0"/>
        <v>11700</v>
      </c>
      <c r="H14" s="1">
        <f>المخزون!G13</f>
        <v>12000</v>
      </c>
      <c r="I14" s="8">
        <v>0.85</v>
      </c>
      <c r="J14" s="7">
        <f t="shared" si="1"/>
        <v>10200</v>
      </c>
      <c r="K14" s="7">
        <v>1200</v>
      </c>
      <c r="L14" s="9">
        <f t="shared" si="2"/>
        <v>2700</v>
      </c>
      <c r="N14" s="22"/>
      <c r="O14" s="22"/>
      <c r="P14" s="22"/>
      <c r="Q14" s="22"/>
      <c r="R14" s="22"/>
      <c r="S14" s="22"/>
    </row>
    <row r="15" spans="1:19" x14ac:dyDescent="0.25">
      <c r="A15" s="1" t="str">
        <f>المخزون!A14</f>
        <v>LaVida</v>
      </c>
      <c r="B15" s="1" t="str">
        <f>المخزون!C14</f>
        <v>White</v>
      </c>
      <c r="C15" s="1">
        <f>المخزون!D14</f>
        <v>0</v>
      </c>
      <c r="D15" s="1">
        <f>المخزون!F14</f>
        <v>2021</v>
      </c>
      <c r="E15" s="7">
        <v>1000</v>
      </c>
      <c r="F15" s="7">
        <f>المخزون!E14</f>
        <v>11500</v>
      </c>
      <c r="G15" s="7">
        <f t="shared" si="0"/>
        <v>12500</v>
      </c>
      <c r="H15" s="1">
        <f>المخزون!G14</f>
        <v>13500</v>
      </c>
      <c r="I15" s="8">
        <v>0.85</v>
      </c>
      <c r="J15" s="7">
        <f t="shared" si="1"/>
        <v>11475</v>
      </c>
      <c r="K15" s="7">
        <v>1200</v>
      </c>
      <c r="L15" s="9">
        <f t="shared" si="2"/>
        <v>2225</v>
      </c>
      <c r="N15" s="22"/>
      <c r="O15" s="22"/>
      <c r="P15" s="22"/>
      <c r="Q15" s="22"/>
      <c r="R15" s="22"/>
      <c r="S15" s="22"/>
    </row>
    <row r="16" spans="1:19" x14ac:dyDescent="0.25">
      <c r="A16" s="1" t="str">
        <f>المخزون!A15</f>
        <v>Nano</v>
      </c>
      <c r="B16" s="1" t="str">
        <f>المخزون!C15</f>
        <v>White</v>
      </c>
      <c r="C16" s="1" t="str">
        <f>المخزون!D15</f>
        <v>ZERO</v>
      </c>
      <c r="D16" s="1">
        <f>المخزون!F15</f>
        <v>2022</v>
      </c>
      <c r="E16" s="7">
        <v>1000</v>
      </c>
      <c r="F16" s="7">
        <f>المخزون!E15</f>
        <v>8250</v>
      </c>
      <c r="G16" s="7">
        <f t="shared" si="0"/>
        <v>9250</v>
      </c>
      <c r="H16" s="1">
        <f>المخزون!G15</f>
        <v>9500</v>
      </c>
      <c r="I16" s="8">
        <v>0.9</v>
      </c>
      <c r="J16" s="7">
        <f t="shared" si="1"/>
        <v>8550</v>
      </c>
      <c r="K16" s="7">
        <v>1200</v>
      </c>
      <c r="L16" s="9">
        <f t="shared" si="2"/>
        <v>1900</v>
      </c>
      <c r="N16" s="22"/>
      <c r="O16" s="22"/>
      <c r="P16" s="22"/>
      <c r="Q16" s="22"/>
      <c r="R16" s="22"/>
      <c r="S16" s="22"/>
    </row>
    <row r="17" spans="1:19" x14ac:dyDescent="0.25">
      <c r="A17" s="1" t="str">
        <f>المخزون!A16</f>
        <v>Honda NS1</v>
      </c>
      <c r="B17" s="1" t="str">
        <f>المخزون!C16</f>
        <v>blue</v>
      </c>
      <c r="C17" s="1" t="str">
        <f>المخزون!D16</f>
        <v>ZERO</v>
      </c>
      <c r="D17" s="1">
        <f>المخزون!F16</f>
        <v>2023</v>
      </c>
      <c r="E17" s="7">
        <v>1000</v>
      </c>
      <c r="F17" s="7">
        <f>المخزون!E16</f>
        <v>16700</v>
      </c>
      <c r="G17" s="7">
        <f t="shared" si="0"/>
        <v>17700</v>
      </c>
      <c r="H17" s="1">
        <f>المخزون!G16</f>
        <v>18500</v>
      </c>
      <c r="I17" s="8">
        <v>0.9</v>
      </c>
      <c r="J17" s="7">
        <f t="shared" si="1"/>
        <v>16650</v>
      </c>
      <c r="K17" s="7">
        <v>1200</v>
      </c>
      <c r="L17" s="9">
        <f t="shared" si="2"/>
        <v>2250</v>
      </c>
      <c r="N17" s="22"/>
      <c r="O17" s="22"/>
      <c r="P17" s="22"/>
      <c r="Q17" s="22"/>
      <c r="R17" s="22"/>
      <c r="S17" s="22"/>
    </row>
    <row r="18" spans="1:19" x14ac:dyDescent="0.25">
      <c r="A18" s="1" t="str">
        <f>المخزون!A17</f>
        <v>BYD seagall</v>
      </c>
      <c r="B18" s="1" t="str">
        <f>المخزون!C17</f>
        <v>Cream</v>
      </c>
      <c r="C18" s="1" t="str">
        <f>المخزون!D17</f>
        <v>ZERO</v>
      </c>
      <c r="D18" s="1">
        <f>المخزون!F17</f>
        <v>2024</v>
      </c>
      <c r="E18" s="7">
        <v>1000</v>
      </c>
      <c r="F18" s="7">
        <f>المخزون!E17</f>
        <v>13250</v>
      </c>
      <c r="G18" s="7">
        <f t="shared" si="0"/>
        <v>14250</v>
      </c>
      <c r="H18" s="1">
        <f>المخزون!G17</f>
        <v>14500</v>
      </c>
      <c r="I18" s="8">
        <v>0.9</v>
      </c>
      <c r="J18" s="7">
        <f t="shared" si="1"/>
        <v>13050</v>
      </c>
      <c r="K18" s="7">
        <v>1200</v>
      </c>
      <c r="L18" s="9">
        <f t="shared" si="2"/>
        <v>2400</v>
      </c>
      <c r="N18" s="22"/>
      <c r="O18" s="22"/>
      <c r="P18" s="22"/>
      <c r="Q18" s="22"/>
      <c r="R18" s="22"/>
      <c r="S18" s="22"/>
    </row>
    <row r="19" spans="1:19" x14ac:dyDescent="0.25">
      <c r="A19" s="1" t="str">
        <f>المخزون!A18</f>
        <v>toyota BZ3</v>
      </c>
      <c r="B19" s="1" t="str">
        <f>المخزون!C18</f>
        <v>basali</v>
      </c>
      <c r="C19" s="1">
        <f>المخزون!D18</f>
        <v>0</v>
      </c>
      <c r="D19" s="1">
        <f>المخزون!F18</f>
        <v>2023</v>
      </c>
      <c r="E19" s="7">
        <v>1000</v>
      </c>
      <c r="F19" s="7">
        <f>المخزون!E18</f>
        <v>18000</v>
      </c>
      <c r="G19" s="7">
        <f t="shared" si="0"/>
        <v>19000</v>
      </c>
      <c r="H19" s="1">
        <f>المخزون!G18</f>
        <v>20500</v>
      </c>
      <c r="I19" s="8">
        <v>0.85</v>
      </c>
      <c r="J19" s="7">
        <f t="shared" si="1"/>
        <v>17425</v>
      </c>
      <c r="K19" s="7">
        <v>1200</v>
      </c>
      <c r="L19" s="9">
        <f t="shared" si="2"/>
        <v>2775</v>
      </c>
      <c r="N19" s="22"/>
      <c r="O19" s="22"/>
      <c r="P19" s="22"/>
      <c r="Q19" s="22"/>
      <c r="R19" s="22"/>
      <c r="S19" s="22"/>
    </row>
    <row r="20" spans="1:19" x14ac:dyDescent="0.25">
      <c r="A20" s="1" t="str">
        <f>المخزون!A19</f>
        <v>KIA EV5</v>
      </c>
      <c r="B20" s="1" t="str">
        <f>المخزون!C19</f>
        <v>SKY BLUE</v>
      </c>
      <c r="C20" s="1" t="str">
        <f>المخزون!D19</f>
        <v>ZERO</v>
      </c>
      <c r="D20" s="1">
        <f>المخزون!F19</f>
        <v>2023</v>
      </c>
      <c r="E20" s="7">
        <v>1000</v>
      </c>
      <c r="F20" s="7">
        <f>المخزون!E19</f>
        <v>22000</v>
      </c>
      <c r="G20" s="7">
        <f t="shared" si="0"/>
        <v>23000</v>
      </c>
      <c r="H20" s="1">
        <f>المخزون!G19</f>
        <v>25000</v>
      </c>
      <c r="I20" s="8">
        <v>0.9</v>
      </c>
      <c r="J20" s="7">
        <f t="shared" si="1"/>
        <v>22500</v>
      </c>
      <c r="K20" s="7">
        <v>1200</v>
      </c>
      <c r="L20" s="9">
        <f t="shared" si="2"/>
        <v>1700</v>
      </c>
      <c r="N20" s="22"/>
      <c r="O20" s="22"/>
      <c r="P20" s="22"/>
      <c r="Q20" s="22"/>
      <c r="R20" s="22"/>
      <c r="S20" s="22"/>
    </row>
    <row r="21" spans="1:19" x14ac:dyDescent="0.25">
      <c r="A21" s="1" t="str">
        <f>المخزون!A20</f>
        <v>QUIN BYD EV</v>
      </c>
      <c r="B21" s="1" t="str">
        <f>المخزون!C20</f>
        <v>YELLOW</v>
      </c>
      <c r="C21" s="1" t="str">
        <f>المخزون!D20</f>
        <v>ZERO</v>
      </c>
      <c r="D21" s="1">
        <f>المخزون!F20</f>
        <v>2023</v>
      </c>
      <c r="E21" s="7">
        <v>1000</v>
      </c>
      <c r="F21" s="7">
        <f>المخزون!E20</f>
        <v>13000</v>
      </c>
      <c r="G21" s="7">
        <f t="shared" si="0"/>
        <v>14000</v>
      </c>
      <c r="H21" s="1">
        <f>المخزون!G20</f>
        <v>15000</v>
      </c>
      <c r="I21" s="8">
        <v>0.9</v>
      </c>
      <c r="J21" s="7">
        <f t="shared" si="1"/>
        <v>13500</v>
      </c>
      <c r="K21" s="7">
        <v>1200</v>
      </c>
      <c r="L21" s="9">
        <f t="shared" si="2"/>
        <v>1700</v>
      </c>
      <c r="N21" s="22"/>
      <c r="O21" s="22"/>
      <c r="P21" s="22"/>
      <c r="Q21" s="22"/>
      <c r="R21" s="22"/>
      <c r="S21" s="22"/>
    </row>
    <row r="22" spans="1:19" x14ac:dyDescent="0.25">
      <c r="A22" s="1" t="str">
        <f>المخزون!A21</f>
        <v>BYD E2 20 305</v>
      </c>
      <c r="B22" s="1" t="str">
        <f>المخزون!C21</f>
        <v>White</v>
      </c>
      <c r="C22" s="1">
        <f>المخزون!D21</f>
        <v>0</v>
      </c>
      <c r="D22" s="1">
        <f>المخزون!F21</f>
        <v>2020</v>
      </c>
      <c r="E22" s="7">
        <v>1000</v>
      </c>
      <c r="F22" s="7">
        <f>المخزون!E21</f>
        <v>11300</v>
      </c>
      <c r="G22" s="7">
        <f t="shared" si="0"/>
        <v>12300</v>
      </c>
      <c r="H22" s="1">
        <f>المخزون!G21</f>
        <v>12500</v>
      </c>
      <c r="I22" s="8">
        <v>0.85</v>
      </c>
      <c r="J22" s="7">
        <f t="shared" si="1"/>
        <v>10625</v>
      </c>
      <c r="K22" s="7">
        <v>1200</v>
      </c>
      <c r="L22" s="9">
        <f t="shared" si="2"/>
        <v>2875</v>
      </c>
      <c r="N22" s="22"/>
      <c r="O22" s="22"/>
      <c r="P22" s="22"/>
      <c r="Q22" s="22"/>
      <c r="R22" s="22"/>
      <c r="S22" s="22"/>
    </row>
    <row r="23" spans="1:19" x14ac:dyDescent="0.25">
      <c r="A23" s="1" t="str">
        <f>المخزون!A22</f>
        <v xml:space="preserve">BYD QIN + EV </v>
      </c>
      <c r="B23" s="1" t="str">
        <f>المخزون!C22</f>
        <v>White</v>
      </c>
      <c r="C23" s="1">
        <f>المخزون!D22</f>
        <v>0</v>
      </c>
      <c r="D23" s="1">
        <f>المخزون!F22</f>
        <v>2020</v>
      </c>
      <c r="E23" s="7">
        <v>1000</v>
      </c>
      <c r="F23" s="7">
        <f>المخزون!E22</f>
        <v>10350</v>
      </c>
      <c r="G23" s="7">
        <f t="shared" si="0"/>
        <v>11350</v>
      </c>
      <c r="H23" s="1">
        <f>المخزون!G22</f>
        <v>12500</v>
      </c>
      <c r="I23" s="8">
        <v>0.85</v>
      </c>
      <c r="J23" s="7">
        <f t="shared" si="1"/>
        <v>10625</v>
      </c>
      <c r="K23" s="7">
        <v>1200</v>
      </c>
      <c r="L23" s="9">
        <f t="shared" si="2"/>
        <v>1925</v>
      </c>
      <c r="N23" s="22"/>
      <c r="O23" s="22"/>
      <c r="P23" s="22"/>
      <c r="Q23" s="22"/>
      <c r="R23" s="22"/>
      <c r="S23" s="22"/>
    </row>
    <row r="24" spans="1:19" x14ac:dyDescent="0.25">
      <c r="A24" s="1" t="str">
        <f>المخزون!A23</f>
        <v>HONGQUI EMQ5</v>
      </c>
      <c r="B24" s="1" t="str">
        <f>المخزون!C23</f>
        <v>Black</v>
      </c>
      <c r="C24" s="1">
        <f>المخزون!D23</f>
        <v>0</v>
      </c>
      <c r="D24" s="1">
        <f>المخزون!F23</f>
        <v>2022</v>
      </c>
      <c r="E24" s="7">
        <v>1000</v>
      </c>
      <c r="F24" s="7">
        <f>المخزون!E23</f>
        <v>14250</v>
      </c>
      <c r="G24" s="7">
        <f t="shared" si="0"/>
        <v>15250</v>
      </c>
      <c r="H24" s="1">
        <f>المخزون!G23</f>
        <v>16500</v>
      </c>
      <c r="I24" s="8">
        <v>0.85</v>
      </c>
      <c r="J24" s="7">
        <f t="shared" si="1"/>
        <v>14025</v>
      </c>
      <c r="K24" s="7">
        <v>1200</v>
      </c>
      <c r="L24" s="9">
        <f t="shared" si="2"/>
        <v>2425</v>
      </c>
      <c r="N24" s="22"/>
      <c r="O24" s="22"/>
      <c r="P24" s="22"/>
      <c r="Q24" s="22"/>
      <c r="R24" s="22"/>
      <c r="S24" s="22"/>
    </row>
    <row r="25" spans="1:19" x14ac:dyDescent="0.25">
      <c r="A25" s="1" t="str">
        <f>المخزون!A24</f>
        <v>LEAP T03</v>
      </c>
      <c r="B25" s="1" t="str">
        <f>المخزون!C24</f>
        <v>WHITE</v>
      </c>
      <c r="C25" s="1" t="str">
        <f>المخزون!D24</f>
        <v>ZERO</v>
      </c>
      <c r="D25" s="1">
        <f>المخزون!F24</f>
        <v>2024</v>
      </c>
      <c r="E25" s="7">
        <v>1000</v>
      </c>
      <c r="F25" s="7">
        <f>المخزون!E24</f>
        <v>9500</v>
      </c>
      <c r="G25" s="7">
        <f t="shared" si="0"/>
        <v>10500</v>
      </c>
      <c r="H25" s="1">
        <f>المخزون!G24</f>
        <v>11500</v>
      </c>
      <c r="I25" s="8">
        <v>0.9</v>
      </c>
      <c r="J25" s="7">
        <f t="shared" si="1"/>
        <v>10350</v>
      </c>
      <c r="K25" s="7">
        <v>1200</v>
      </c>
      <c r="L25" s="9">
        <f t="shared" si="2"/>
        <v>1350</v>
      </c>
      <c r="N25" s="22"/>
      <c r="O25" s="22"/>
      <c r="P25" s="22"/>
      <c r="Q25" s="22"/>
      <c r="R25" s="22"/>
      <c r="S25" s="22"/>
    </row>
    <row r="26" spans="1:19" x14ac:dyDescent="0.25">
      <c r="A26" s="1" t="str">
        <f>المخزون!A25</f>
        <v>FORTHING S60</v>
      </c>
      <c r="B26" s="1" t="str">
        <f>المخزون!C25</f>
        <v>WHITE</v>
      </c>
      <c r="C26" s="1" t="str">
        <f>المخزون!D25</f>
        <v>ZERO</v>
      </c>
      <c r="D26" s="1">
        <f>المخزون!F25</f>
        <v>2023</v>
      </c>
      <c r="E26" s="7">
        <v>1000</v>
      </c>
      <c r="F26" s="7">
        <f>المخزون!E25</f>
        <v>13200</v>
      </c>
      <c r="G26" s="7">
        <f t="shared" si="0"/>
        <v>14200</v>
      </c>
      <c r="H26" s="1">
        <f>المخزون!G25</f>
        <v>15000</v>
      </c>
      <c r="I26" s="8">
        <v>0.9</v>
      </c>
      <c r="J26" s="7">
        <f t="shared" si="1"/>
        <v>13500</v>
      </c>
      <c r="K26" s="7">
        <v>1200</v>
      </c>
      <c r="L26" s="9">
        <f t="shared" si="2"/>
        <v>1900</v>
      </c>
    </row>
    <row r="27" spans="1:19" x14ac:dyDescent="0.25">
      <c r="A27" s="1" t="str">
        <f>المخزون!A26</f>
        <v xml:space="preserve">NANO </v>
      </c>
      <c r="B27" s="1" t="str">
        <f>المخزون!C26</f>
        <v>Black</v>
      </c>
      <c r="C27" s="1" t="str">
        <f>المخزون!D26</f>
        <v>ZERO</v>
      </c>
      <c r="D27" s="1">
        <f>المخزون!F26</f>
        <v>2022</v>
      </c>
      <c r="E27" s="7">
        <v>1000</v>
      </c>
      <c r="F27" s="7">
        <f>المخزون!E26</f>
        <v>8700</v>
      </c>
      <c r="G27" s="7">
        <f t="shared" si="0"/>
        <v>9700</v>
      </c>
      <c r="H27" s="1">
        <f>المخزون!G26</f>
        <v>11000</v>
      </c>
      <c r="I27" s="8">
        <v>0.9</v>
      </c>
      <c r="J27" s="7">
        <f t="shared" si="1"/>
        <v>9900</v>
      </c>
      <c r="K27" s="7">
        <v>1200</v>
      </c>
      <c r="L27" s="9">
        <f t="shared" si="2"/>
        <v>1000</v>
      </c>
    </row>
    <row r="28" spans="1:19" x14ac:dyDescent="0.25">
      <c r="A28" s="1" t="str">
        <f>المخزون!A27</f>
        <v>LEAP T03</v>
      </c>
      <c r="B28" s="1" t="str">
        <f>المخزون!C27</f>
        <v>Peach</v>
      </c>
      <c r="C28" s="1">
        <f>المخزون!D27</f>
        <v>0</v>
      </c>
      <c r="D28" s="1">
        <f>المخزون!F27</f>
        <v>2022</v>
      </c>
      <c r="E28" s="7">
        <v>1000</v>
      </c>
      <c r="F28" s="7">
        <f>المخزون!E27</f>
        <v>7700</v>
      </c>
      <c r="G28" s="7">
        <f t="shared" si="0"/>
        <v>8700</v>
      </c>
      <c r="H28" s="1">
        <f>المخزون!G27</f>
        <v>0</v>
      </c>
      <c r="I28" s="8">
        <v>0.85</v>
      </c>
      <c r="J28" s="7">
        <f t="shared" si="1"/>
        <v>0</v>
      </c>
      <c r="K28" s="7">
        <v>1200</v>
      </c>
      <c r="L28" s="9">
        <f t="shared" si="2"/>
        <v>9900</v>
      </c>
    </row>
    <row r="29" spans="1:19" x14ac:dyDescent="0.25">
      <c r="A29" s="1" t="str">
        <f>المخزون!A28</f>
        <v>Nissan Sylphi</v>
      </c>
      <c r="B29" s="1" t="str">
        <f>المخزون!C28</f>
        <v>WHITE</v>
      </c>
      <c r="C29" s="1">
        <f>المخزون!D28</f>
        <v>0</v>
      </c>
      <c r="D29" s="1">
        <f>المخزون!F28</f>
        <v>2019</v>
      </c>
      <c r="E29" s="7">
        <v>1000</v>
      </c>
      <c r="F29" s="7">
        <f>المخزون!E28</f>
        <v>8700</v>
      </c>
      <c r="G29" s="7">
        <f t="shared" si="0"/>
        <v>9700</v>
      </c>
      <c r="H29" s="1">
        <f>المخزون!G28</f>
        <v>12000</v>
      </c>
      <c r="I29" s="8">
        <v>0.85</v>
      </c>
      <c r="J29" s="7">
        <f t="shared" si="1"/>
        <v>10200</v>
      </c>
      <c r="K29" s="7">
        <v>1200</v>
      </c>
      <c r="L29" s="9">
        <f t="shared" si="2"/>
        <v>700</v>
      </c>
    </row>
    <row r="30" spans="1:19" x14ac:dyDescent="0.25">
      <c r="A30" s="1" t="str">
        <f>المخزون!A29</f>
        <v>Dong Feng Mage</v>
      </c>
      <c r="B30" s="1" t="str">
        <f>المخزون!C29</f>
        <v>Black</v>
      </c>
      <c r="C30" s="1" t="str">
        <f>المخزون!D29</f>
        <v>ZERO</v>
      </c>
      <c r="D30" s="1">
        <f>المخزون!F29</f>
        <v>2026</v>
      </c>
      <c r="E30" s="7">
        <v>1000</v>
      </c>
      <c r="F30" s="7">
        <f>المخزون!E29</f>
        <v>0</v>
      </c>
      <c r="G30" s="7">
        <f t="shared" si="0"/>
        <v>1000</v>
      </c>
      <c r="H30" s="1">
        <f>المخزون!G29</f>
        <v>0</v>
      </c>
      <c r="I30" s="8">
        <v>0.9</v>
      </c>
      <c r="J30" s="7">
        <f t="shared" si="1"/>
        <v>0</v>
      </c>
      <c r="K30" s="7">
        <v>1200</v>
      </c>
      <c r="L30" s="9">
        <f t="shared" si="2"/>
        <v>2200</v>
      </c>
    </row>
    <row r="31" spans="1:19" x14ac:dyDescent="0.25">
      <c r="A31" s="1" t="str">
        <f>المخزون!A30</f>
        <v>BYD SONG plus</v>
      </c>
      <c r="B31" s="1" t="str">
        <f>المخزون!C30</f>
        <v>White</v>
      </c>
      <c r="C31" s="1" t="str">
        <f>المخزون!D30</f>
        <v>ZERO</v>
      </c>
      <c r="D31" s="1">
        <f>المخزون!F30</f>
        <v>2024</v>
      </c>
      <c r="E31" s="7">
        <v>1000</v>
      </c>
      <c r="F31" s="7">
        <f>المخزون!E30</f>
        <v>24250</v>
      </c>
      <c r="G31" s="7">
        <f t="shared" si="0"/>
        <v>25250</v>
      </c>
      <c r="H31" s="1">
        <f>المخزون!G30</f>
        <v>0</v>
      </c>
      <c r="I31" s="8">
        <v>0.9</v>
      </c>
      <c r="J31" s="7">
        <f t="shared" si="1"/>
        <v>0</v>
      </c>
      <c r="K31" s="7">
        <v>1200</v>
      </c>
      <c r="L31" s="9">
        <f t="shared" si="2"/>
        <v>26450</v>
      </c>
    </row>
    <row r="32" spans="1:19" x14ac:dyDescent="0.25">
      <c r="A32" s="1" t="str">
        <f>المخزون!A31</f>
        <v>Toyota BZ4</v>
      </c>
      <c r="B32" s="1" t="str">
        <f>المخزون!C31</f>
        <v>Black</v>
      </c>
      <c r="C32" s="1">
        <f>المخزون!D31</f>
        <v>0</v>
      </c>
      <c r="D32" s="1">
        <f>المخزون!F31</f>
        <v>2022</v>
      </c>
      <c r="E32" s="7">
        <v>1000</v>
      </c>
      <c r="F32" s="7">
        <f>المخزون!E31</f>
        <v>22000</v>
      </c>
      <c r="G32" s="7">
        <f t="shared" si="0"/>
        <v>23000</v>
      </c>
      <c r="H32" s="1">
        <f>المخزون!G31</f>
        <v>0</v>
      </c>
      <c r="I32" s="8">
        <v>0.85</v>
      </c>
      <c r="J32" s="7">
        <f t="shared" si="1"/>
        <v>0</v>
      </c>
      <c r="K32" s="7">
        <v>1200</v>
      </c>
      <c r="L32" s="9">
        <f t="shared" si="2"/>
        <v>24200</v>
      </c>
    </row>
    <row r="33" spans="1:12" x14ac:dyDescent="0.25">
      <c r="A33" s="1" t="str">
        <f>المخزون!A32</f>
        <v>Changan Eado</v>
      </c>
      <c r="B33" s="1" t="str">
        <f>المخزون!C32</f>
        <v>Black</v>
      </c>
      <c r="C33" s="1" t="str">
        <f>المخزون!D32</f>
        <v>ZERO</v>
      </c>
      <c r="D33" s="1">
        <f>المخزون!F32</f>
        <v>2026</v>
      </c>
      <c r="E33" s="7">
        <v>1000</v>
      </c>
      <c r="F33" s="7">
        <f>المخزون!E32</f>
        <v>17500</v>
      </c>
      <c r="G33" s="7">
        <f t="shared" si="0"/>
        <v>18500</v>
      </c>
      <c r="H33" s="1" t="str">
        <f>المخزون!G32</f>
        <v>Cash Only</v>
      </c>
      <c r="I33" s="8">
        <v>0.9</v>
      </c>
      <c r="J33" s="7" t="e">
        <f t="shared" si="1"/>
        <v>#VALUE!</v>
      </c>
      <c r="K33" s="7">
        <v>1200</v>
      </c>
      <c r="L33" s="9" t="e">
        <f t="shared" si="2"/>
        <v>#VALUE!</v>
      </c>
    </row>
    <row r="34" spans="1:12" x14ac:dyDescent="0.25">
      <c r="A34" s="1" t="str">
        <f>المخزون!A33</f>
        <v>Changan Eado</v>
      </c>
      <c r="B34" s="1" t="str">
        <f>المخزون!C33</f>
        <v>Black</v>
      </c>
      <c r="C34" s="1" t="str">
        <f>المخزون!D33</f>
        <v>ZERO</v>
      </c>
      <c r="D34" s="1">
        <f>المخزون!F33</f>
        <v>2026</v>
      </c>
      <c r="E34" s="7">
        <v>1000</v>
      </c>
      <c r="F34" s="7">
        <f>المخزون!E33</f>
        <v>16500</v>
      </c>
      <c r="G34" s="7">
        <f t="shared" si="0"/>
        <v>17500</v>
      </c>
      <c r="H34" s="1" t="str">
        <f>المخزون!G33</f>
        <v>Cash Only</v>
      </c>
      <c r="I34" s="8">
        <v>0.85</v>
      </c>
      <c r="J34" s="7" t="e">
        <f t="shared" si="1"/>
        <v>#VALUE!</v>
      </c>
      <c r="K34" s="7">
        <v>1200</v>
      </c>
      <c r="L34" s="9" t="e">
        <f t="shared" si="2"/>
        <v>#VALUE!</v>
      </c>
    </row>
    <row r="35" spans="1:12" x14ac:dyDescent="0.25">
      <c r="A35" s="1" t="str">
        <f>المخزون!A34</f>
        <v>Changan Eado</v>
      </c>
      <c r="B35" s="1" t="str">
        <f>المخزون!C34</f>
        <v>White</v>
      </c>
      <c r="C35" s="1" t="str">
        <f>المخزون!D34</f>
        <v>ZERO</v>
      </c>
      <c r="D35" s="1">
        <f>المخزون!F34</f>
        <v>2023</v>
      </c>
      <c r="E35" s="7">
        <v>1000</v>
      </c>
      <c r="F35" s="7">
        <f>المخزون!E34</f>
        <v>14500</v>
      </c>
      <c r="G35" s="7">
        <f t="shared" si="0"/>
        <v>15500</v>
      </c>
      <c r="H35" s="1" t="str">
        <f>المخزون!G34</f>
        <v>Cash Only</v>
      </c>
      <c r="I35" s="8">
        <v>0.9</v>
      </c>
      <c r="J35" s="7" t="e">
        <f t="shared" si="1"/>
        <v>#VALUE!</v>
      </c>
      <c r="K35" s="7">
        <v>1200</v>
      </c>
      <c r="L35" s="9" t="e">
        <f t="shared" si="2"/>
        <v>#VALUE!</v>
      </c>
    </row>
    <row r="36" spans="1:12" x14ac:dyDescent="0.25">
      <c r="A36" s="1" t="str">
        <f>المخزون!A35</f>
        <v>Changan Eado</v>
      </c>
      <c r="B36" s="1" t="str">
        <f>المخزون!C35</f>
        <v>White</v>
      </c>
      <c r="C36" s="1" t="str">
        <f>المخزون!D35</f>
        <v>ZERO</v>
      </c>
      <c r="D36" s="1">
        <f>المخزون!F35</f>
        <v>2022</v>
      </c>
      <c r="E36" s="7">
        <v>1000</v>
      </c>
      <c r="F36" s="7">
        <f>المخزون!E35</f>
        <v>13000</v>
      </c>
      <c r="G36" s="7">
        <f t="shared" si="0"/>
        <v>14000</v>
      </c>
      <c r="H36" s="1">
        <v>14800</v>
      </c>
      <c r="I36" s="8">
        <v>0.9</v>
      </c>
      <c r="J36" s="7">
        <f t="shared" si="1"/>
        <v>13320</v>
      </c>
      <c r="K36" s="7">
        <v>1200</v>
      </c>
      <c r="L36" s="9">
        <f t="shared" si="2"/>
        <v>1880</v>
      </c>
    </row>
    <row r="37" spans="1:12" x14ac:dyDescent="0.25">
      <c r="A37" s="1" t="str">
        <f>المخزون!A36</f>
        <v>Song pro</v>
      </c>
      <c r="B37" s="1" t="str">
        <f>المخزون!C36</f>
        <v>Light Grey</v>
      </c>
      <c r="C37" s="1" t="str">
        <f>المخزون!D36</f>
        <v>ZERO</v>
      </c>
      <c r="D37" s="1">
        <f>المخزون!F36</f>
        <v>2025</v>
      </c>
      <c r="E37" s="7">
        <v>1000</v>
      </c>
      <c r="F37" s="7">
        <f>المخزون!E36</f>
        <v>22000</v>
      </c>
      <c r="G37" s="7">
        <f t="shared" si="0"/>
        <v>23000</v>
      </c>
      <c r="H37" s="1">
        <f>المخزون!G36</f>
        <v>0</v>
      </c>
      <c r="I37" s="8">
        <v>0.85</v>
      </c>
      <c r="J37" s="7">
        <f t="shared" si="1"/>
        <v>0</v>
      </c>
      <c r="K37" s="7">
        <v>1200</v>
      </c>
      <c r="L37" s="9">
        <f t="shared" si="2"/>
        <v>24200</v>
      </c>
    </row>
    <row r="38" spans="1:12" x14ac:dyDescent="0.25">
      <c r="A38" s="1" t="str">
        <f>المخزون!A37</f>
        <v>BYD QUIN L</v>
      </c>
      <c r="B38" s="1" t="str">
        <f>المخزون!C37</f>
        <v>White</v>
      </c>
      <c r="C38" s="1" t="str">
        <f>المخزون!D37</f>
        <v>ZERO</v>
      </c>
      <c r="D38" s="1">
        <f>المخزون!F37</f>
        <v>2025</v>
      </c>
      <c r="E38" s="7">
        <v>1000</v>
      </c>
      <c r="F38" s="7">
        <f>المخزون!E37</f>
        <v>0</v>
      </c>
      <c r="G38" s="7">
        <f t="shared" si="0"/>
        <v>1000</v>
      </c>
      <c r="H38" s="1">
        <f>المخزون!G37</f>
        <v>0</v>
      </c>
      <c r="I38" s="8">
        <v>0.9</v>
      </c>
      <c r="J38" s="7">
        <f t="shared" si="1"/>
        <v>0</v>
      </c>
      <c r="K38" s="7">
        <v>1200</v>
      </c>
      <c r="L38" s="9">
        <f t="shared" si="2"/>
        <v>2200</v>
      </c>
    </row>
    <row r="39" spans="1:12" x14ac:dyDescent="0.25">
      <c r="A39" s="1">
        <f>المخزون!A38</f>
        <v>0</v>
      </c>
      <c r="B39" s="1">
        <f>المخزون!C38</f>
        <v>0</v>
      </c>
      <c r="C39" s="1">
        <f>المخزون!D38</f>
        <v>0</v>
      </c>
      <c r="D39" s="1">
        <f>المخزون!F38</f>
        <v>0</v>
      </c>
      <c r="E39" s="7">
        <v>1000</v>
      </c>
      <c r="F39" s="7">
        <f>المخزون!E38</f>
        <v>0</v>
      </c>
      <c r="G39" s="7">
        <f t="shared" si="0"/>
        <v>1000</v>
      </c>
      <c r="H39" s="1">
        <f>المخزون!G38</f>
        <v>0</v>
      </c>
      <c r="I39" s="8">
        <v>0.85</v>
      </c>
      <c r="J39" s="7">
        <f t="shared" si="1"/>
        <v>0</v>
      </c>
      <c r="K39" s="7">
        <v>1200</v>
      </c>
      <c r="L39" s="9">
        <f t="shared" si="2"/>
        <v>2200</v>
      </c>
    </row>
    <row r="40" spans="1:12" x14ac:dyDescent="0.25">
      <c r="A40" s="1">
        <f>المخزون!A39</f>
        <v>0</v>
      </c>
      <c r="B40" s="1">
        <f>المخزون!C39</f>
        <v>0</v>
      </c>
      <c r="C40" s="1">
        <f>المخزون!D39</f>
        <v>0</v>
      </c>
      <c r="D40" s="1">
        <f>المخزون!F39</f>
        <v>0</v>
      </c>
      <c r="E40" s="7">
        <v>1000</v>
      </c>
      <c r="F40" s="7">
        <f>المخزون!E39</f>
        <v>0</v>
      </c>
      <c r="G40" s="7">
        <f t="shared" si="0"/>
        <v>1000</v>
      </c>
      <c r="H40" s="1">
        <f>المخزون!G39</f>
        <v>0</v>
      </c>
      <c r="I40" s="8">
        <v>0.9</v>
      </c>
      <c r="J40" s="7">
        <f t="shared" si="1"/>
        <v>0</v>
      </c>
      <c r="K40" s="7">
        <v>1200</v>
      </c>
      <c r="L40" s="9">
        <f t="shared" si="2"/>
        <v>2200</v>
      </c>
    </row>
    <row r="41" spans="1:12" x14ac:dyDescent="0.25">
      <c r="A41" s="1">
        <f>المخزون!A40</f>
        <v>0</v>
      </c>
      <c r="B41" s="1">
        <f>المخزون!C40</f>
        <v>0</v>
      </c>
      <c r="C41" s="1">
        <f>المخزون!D40</f>
        <v>0</v>
      </c>
      <c r="D41" s="1">
        <f>المخزون!F40</f>
        <v>0</v>
      </c>
      <c r="E41" s="7">
        <v>1000</v>
      </c>
      <c r="F41" s="7">
        <f>المخزون!E40</f>
        <v>0</v>
      </c>
      <c r="G41" s="7">
        <f t="shared" si="0"/>
        <v>1000</v>
      </c>
      <c r="H41" s="1">
        <f>المخزون!G40</f>
        <v>0</v>
      </c>
      <c r="I41" s="8">
        <v>0.9</v>
      </c>
      <c r="J41" s="7">
        <f t="shared" si="1"/>
        <v>0</v>
      </c>
      <c r="K41" s="7">
        <v>1200</v>
      </c>
      <c r="L41" s="9">
        <f t="shared" si="2"/>
        <v>2200</v>
      </c>
    </row>
    <row r="42" spans="1:12" x14ac:dyDescent="0.25">
      <c r="A42" s="1">
        <f>المخزون!A41</f>
        <v>0</v>
      </c>
      <c r="B42" s="1">
        <f>المخزون!C41</f>
        <v>0</v>
      </c>
      <c r="C42" s="1">
        <f>المخزون!D41</f>
        <v>0</v>
      </c>
      <c r="D42" s="1">
        <f>المخزون!F41</f>
        <v>0</v>
      </c>
      <c r="E42" s="7">
        <v>1000</v>
      </c>
      <c r="F42" s="7">
        <f>المخزون!E41</f>
        <v>0</v>
      </c>
      <c r="G42" s="7">
        <f t="shared" si="0"/>
        <v>1000</v>
      </c>
      <c r="H42" s="1">
        <f>المخزون!G41</f>
        <v>0</v>
      </c>
      <c r="I42" s="8">
        <v>0.9</v>
      </c>
      <c r="J42" s="7">
        <f t="shared" si="1"/>
        <v>0</v>
      </c>
      <c r="K42" s="7">
        <v>1200</v>
      </c>
      <c r="L42" s="9">
        <f t="shared" si="2"/>
        <v>2200</v>
      </c>
    </row>
    <row r="43" spans="1:12" x14ac:dyDescent="0.25">
      <c r="A43" s="1">
        <f>المخزون!A42</f>
        <v>0</v>
      </c>
      <c r="B43" s="1">
        <f>المخزون!C42</f>
        <v>0</v>
      </c>
      <c r="C43" s="1">
        <f>المخزون!D42</f>
        <v>0</v>
      </c>
      <c r="D43" s="1">
        <f>المخزون!F42</f>
        <v>0</v>
      </c>
      <c r="E43" s="7">
        <v>1000</v>
      </c>
      <c r="F43" s="7">
        <f>المخزون!E42</f>
        <v>0</v>
      </c>
      <c r="G43" s="7">
        <f t="shared" si="0"/>
        <v>1000</v>
      </c>
      <c r="H43" s="1">
        <f>المخزون!G42</f>
        <v>0</v>
      </c>
      <c r="I43" s="8">
        <v>0.9</v>
      </c>
      <c r="J43" s="7">
        <f t="shared" si="1"/>
        <v>0</v>
      </c>
      <c r="K43" s="7">
        <v>1200</v>
      </c>
      <c r="L43" s="9">
        <f t="shared" si="2"/>
        <v>2200</v>
      </c>
    </row>
    <row r="44" spans="1:12" x14ac:dyDescent="0.25">
      <c r="A44" s="1">
        <f>المخزون!A43</f>
        <v>0</v>
      </c>
      <c r="B44" s="1">
        <f>المخزون!C43</f>
        <v>0</v>
      </c>
      <c r="C44" s="1">
        <f>المخزون!D43</f>
        <v>0</v>
      </c>
      <c r="D44" s="1">
        <f>المخزون!F43</f>
        <v>0</v>
      </c>
      <c r="E44" s="7">
        <v>1000</v>
      </c>
      <c r="F44" s="7">
        <f>المخزون!E43</f>
        <v>0</v>
      </c>
      <c r="G44" s="7">
        <f t="shared" si="0"/>
        <v>1000</v>
      </c>
      <c r="H44" s="1">
        <f>المخزون!G43</f>
        <v>0</v>
      </c>
      <c r="I44" s="8">
        <v>0.9</v>
      </c>
      <c r="J44" s="7">
        <f t="shared" si="1"/>
        <v>0</v>
      </c>
      <c r="K44" s="7">
        <v>1200</v>
      </c>
      <c r="L44" s="9">
        <f t="shared" si="2"/>
        <v>2200</v>
      </c>
    </row>
    <row r="45" spans="1:12" x14ac:dyDescent="0.25">
      <c r="A45" s="1">
        <f>المخزون!A44</f>
        <v>0</v>
      </c>
      <c r="B45" s="1">
        <f>المخزون!C44</f>
        <v>0</v>
      </c>
      <c r="C45" s="1">
        <f>المخزون!D44</f>
        <v>0</v>
      </c>
      <c r="D45" s="1">
        <f>المخزون!F44</f>
        <v>0</v>
      </c>
      <c r="E45" s="7">
        <v>1000</v>
      </c>
      <c r="F45" s="7">
        <f>المخزون!E44</f>
        <v>0</v>
      </c>
      <c r="G45" s="7">
        <f t="shared" si="0"/>
        <v>1000</v>
      </c>
      <c r="H45" s="1">
        <f>المخزون!G44</f>
        <v>0</v>
      </c>
      <c r="I45" s="8">
        <v>0.9</v>
      </c>
      <c r="J45" s="7">
        <f t="shared" si="1"/>
        <v>0</v>
      </c>
      <c r="K45" s="7">
        <v>1200</v>
      </c>
      <c r="L45" s="9">
        <f t="shared" si="2"/>
        <v>2200</v>
      </c>
    </row>
    <row r="46" spans="1:12" x14ac:dyDescent="0.25">
      <c r="A46" s="1">
        <f>المخزون!A45</f>
        <v>0</v>
      </c>
      <c r="B46" s="1">
        <f>المخزون!C45</f>
        <v>0</v>
      </c>
      <c r="C46" s="1">
        <f>المخزون!D45</f>
        <v>0</v>
      </c>
      <c r="D46" s="1">
        <f>المخزون!F45</f>
        <v>0</v>
      </c>
      <c r="E46" s="7">
        <v>1000</v>
      </c>
      <c r="F46" s="7">
        <f>المخزون!E45</f>
        <v>0</v>
      </c>
      <c r="G46" s="7">
        <f t="shared" si="0"/>
        <v>1000</v>
      </c>
      <c r="H46" s="1">
        <f>المخزون!G45</f>
        <v>0</v>
      </c>
      <c r="I46" s="8">
        <v>0.9</v>
      </c>
      <c r="J46" s="7">
        <f t="shared" si="1"/>
        <v>0</v>
      </c>
      <c r="K46" s="7">
        <v>1200</v>
      </c>
      <c r="L46" s="9">
        <f t="shared" si="2"/>
        <v>2200</v>
      </c>
    </row>
    <row r="47" spans="1:12" x14ac:dyDescent="0.25">
      <c r="A47" s="1">
        <f>المخزون!A46</f>
        <v>0</v>
      </c>
      <c r="B47" s="1" t="str">
        <f>المخزون!C36</f>
        <v>Light Grey</v>
      </c>
      <c r="C47" s="1">
        <f>المخزون!D46</f>
        <v>0</v>
      </c>
      <c r="D47" s="1">
        <f>المخزون!F46</f>
        <v>0</v>
      </c>
      <c r="E47" s="7">
        <v>1000</v>
      </c>
      <c r="F47" s="7">
        <f>المخزون!E46</f>
        <v>0</v>
      </c>
      <c r="G47" s="7">
        <f t="shared" si="0"/>
        <v>1000</v>
      </c>
      <c r="H47" s="1">
        <f>المخزون!G46</f>
        <v>0</v>
      </c>
      <c r="I47" s="8">
        <v>0.9</v>
      </c>
      <c r="J47" s="7">
        <f t="shared" si="1"/>
        <v>0</v>
      </c>
      <c r="K47" s="7">
        <v>1200</v>
      </c>
      <c r="L47" s="9">
        <f t="shared" si="2"/>
        <v>2200</v>
      </c>
    </row>
    <row r="48" spans="1:12" x14ac:dyDescent="0.25">
      <c r="A48" s="1">
        <f>المخزون!A47</f>
        <v>0</v>
      </c>
      <c r="B48" s="1" t="str">
        <f>المخزون!C37</f>
        <v>White</v>
      </c>
      <c r="C48" s="1">
        <f>المخزون!D47</f>
        <v>0</v>
      </c>
      <c r="D48" s="1">
        <f>المخزون!F47</f>
        <v>0</v>
      </c>
      <c r="E48" s="7">
        <v>1000</v>
      </c>
      <c r="F48" s="7">
        <f>المخزون!E47</f>
        <v>0</v>
      </c>
      <c r="G48" s="7">
        <f t="shared" si="0"/>
        <v>1000</v>
      </c>
      <c r="H48" s="1">
        <f>المخزون!G47</f>
        <v>0</v>
      </c>
      <c r="I48" s="8">
        <v>0.9</v>
      </c>
      <c r="J48" s="7">
        <f t="shared" si="1"/>
        <v>0</v>
      </c>
      <c r="K48" s="7">
        <v>1200</v>
      </c>
      <c r="L48" s="9">
        <f t="shared" si="2"/>
        <v>2200</v>
      </c>
    </row>
    <row r="49" spans="1:12" x14ac:dyDescent="0.25">
      <c r="A49" s="1">
        <f>المخزون!A48</f>
        <v>0</v>
      </c>
      <c r="B49" s="1">
        <f>المخزون!C38</f>
        <v>0</v>
      </c>
      <c r="C49" s="1">
        <f>المخزون!D48</f>
        <v>0</v>
      </c>
      <c r="D49" s="1">
        <f>المخزون!F48</f>
        <v>0</v>
      </c>
      <c r="E49" s="7">
        <v>1000</v>
      </c>
      <c r="F49" s="7">
        <f>المخزون!E48</f>
        <v>0</v>
      </c>
      <c r="G49" s="7">
        <f t="shared" si="0"/>
        <v>1000</v>
      </c>
      <c r="H49" s="1">
        <f>المخزون!G48</f>
        <v>0</v>
      </c>
      <c r="I49" s="8">
        <v>0.9</v>
      </c>
      <c r="J49" s="7">
        <f t="shared" si="1"/>
        <v>0</v>
      </c>
      <c r="K49" s="7">
        <v>1200</v>
      </c>
      <c r="L49" s="9">
        <f t="shared" si="2"/>
        <v>2200</v>
      </c>
    </row>
    <row r="50" spans="1:12" x14ac:dyDescent="0.25">
      <c r="A50" s="1">
        <f>المخزون!A49</f>
        <v>0</v>
      </c>
      <c r="B50" s="1">
        <f>المخزون!C39</f>
        <v>0</v>
      </c>
      <c r="C50" s="1">
        <f>المخزون!D49</f>
        <v>0</v>
      </c>
      <c r="D50" s="1">
        <f>المخزون!F49</f>
        <v>0</v>
      </c>
      <c r="E50" s="7">
        <v>1000</v>
      </c>
      <c r="F50" s="7">
        <f>المخزون!E49</f>
        <v>0</v>
      </c>
      <c r="G50" s="7">
        <f t="shared" si="0"/>
        <v>1000</v>
      </c>
      <c r="H50" s="1">
        <f>المخزون!G49</f>
        <v>0</v>
      </c>
      <c r="I50" s="8">
        <v>0.9</v>
      </c>
      <c r="J50" s="7">
        <f t="shared" si="1"/>
        <v>0</v>
      </c>
      <c r="K50" s="7">
        <v>1200</v>
      </c>
      <c r="L50" s="9">
        <f t="shared" si="2"/>
        <v>2200</v>
      </c>
    </row>
    <row r="51" spans="1:12" x14ac:dyDescent="0.25">
      <c r="A51" s="1">
        <f>المخزون!A50</f>
        <v>0</v>
      </c>
      <c r="B51" s="1">
        <f>المخزون!C40</f>
        <v>0</v>
      </c>
      <c r="C51" s="1">
        <f>المخزون!D50</f>
        <v>0</v>
      </c>
      <c r="D51" s="1">
        <f>المخزون!F50</f>
        <v>0</v>
      </c>
      <c r="E51" s="7">
        <v>1000</v>
      </c>
      <c r="F51" s="7">
        <f>المخزون!E50</f>
        <v>0</v>
      </c>
      <c r="G51" s="7">
        <f t="shared" si="0"/>
        <v>1000</v>
      </c>
      <c r="H51" s="1">
        <f>المخزون!G50</f>
        <v>0</v>
      </c>
      <c r="I51" s="8">
        <v>0.9</v>
      </c>
      <c r="J51" s="7">
        <f t="shared" si="1"/>
        <v>0</v>
      </c>
      <c r="K51" s="7">
        <v>1200</v>
      </c>
      <c r="L51" s="9">
        <f t="shared" si="2"/>
        <v>2200</v>
      </c>
    </row>
    <row r="52" spans="1:12" x14ac:dyDescent="0.25">
      <c r="A52" s="1">
        <f>المخزون!A51</f>
        <v>0</v>
      </c>
      <c r="B52" s="1">
        <f>المخزون!C41</f>
        <v>0</v>
      </c>
      <c r="C52" s="1">
        <f>المخزون!D51</f>
        <v>0</v>
      </c>
      <c r="D52" s="1">
        <f>المخزون!F51</f>
        <v>0</v>
      </c>
      <c r="E52" s="7">
        <v>1000</v>
      </c>
      <c r="F52" s="7">
        <f>المخزون!E51</f>
        <v>0</v>
      </c>
      <c r="G52" s="7">
        <f t="shared" si="0"/>
        <v>1000</v>
      </c>
      <c r="H52" s="1">
        <f>المخزون!G51</f>
        <v>0</v>
      </c>
      <c r="I52" s="8">
        <v>0.9</v>
      </c>
      <c r="J52" s="7">
        <f t="shared" si="1"/>
        <v>0</v>
      </c>
      <c r="K52" s="7">
        <v>1200</v>
      </c>
      <c r="L52" s="9">
        <f t="shared" si="2"/>
        <v>2200</v>
      </c>
    </row>
    <row r="53" spans="1:12" x14ac:dyDescent="0.25">
      <c r="A53" s="1">
        <f>المخزون!A52</f>
        <v>0</v>
      </c>
      <c r="B53" s="1">
        <f>المخزون!C42</f>
        <v>0</v>
      </c>
      <c r="C53" s="1">
        <f>المخزون!D52</f>
        <v>0</v>
      </c>
      <c r="D53" s="1">
        <f>المخزون!F42</f>
        <v>0</v>
      </c>
      <c r="E53" s="7">
        <v>1000</v>
      </c>
      <c r="F53" s="7">
        <f>المخزون!E52</f>
        <v>0</v>
      </c>
      <c r="G53" s="7">
        <f t="shared" si="0"/>
        <v>1000</v>
      </c>
      <c r="H53" s="1">
        <f>المخزون!G52</f>
        <v>0</v>
      </c>
      <c r="I53" s="8">
        <v>0.9</v>
      </c>
      <c r="J53" s="7">
        <f t="shared" si="1"/>
        <v>0</v>
      </c>
      <c r="K53" s="7">
        <v>1200</v>
      </c>
      <c r="L53" s="9">
        <f t="shared" si="2"/>
        <v>2200</v>
      </c>
    </row>
    <row r="54" spans="1:12" x14ac:dyDescent="0.25">
      <c r="A54" s="1">
        <f>المخزون!A53</f>
        <v>0</v>
      </c>
      <c r="B54" s="1">
        <f>المخزون!C43</f>
        <v>0</v>
      </c>
      <c r="C54" s="1">
        <f>المخزون!D53</f>
        <v>0</v>
      </c>
      <c r="D54" s="1">
        <f>المخزون!F43</f>
        <v>0</v>
      </c>
      <c r="E54" s="7">
        <v>1000</v>
      </c>
      <c r="F54" s="7">
        <f>المخزون!E53</f>
        <v>0</v>
      </c>
      <c r="G54" s="7">
        <f t="shared" si="0"/>
        <v>1000</v>
      </c>
      <c r="H54" s="1">
        <f>المخزون!G53</f>
        <v>0</v>
      </c>
      <c r="I54" s="8">
        <v>0.9</v>
      </c>
      <c r="J54" s="7">
        <f t="shared" si="1"/>
        <v>0</v>
      </c>
      <c r="K54" s="7">
        <v>1200</v>
      </c>
      <c r="L54" s="9">
        <f t="shared" si="2"/>
        <v>2200</v>
      </c>
    </row>
    <row r="55" spans="1:12" x14ac:dyDescent="0.25">
      <c r="A55" s="1">
        <f>المخزون!A54</f>
        <v>0</v>
      </c>
      <c r="B55" s="1">
        <f>المخزون!C44</f>
        <v>0</v>
      </c>
      <c r="C55" s="1">
        <f>المخزون!D54</f>
        <v>0</v>
      </c>
      <c r="D55" s="1">
        <f>المخزون!F44</f>
        <v>0</v>
      </c>
      <c r="E55" s="7">
        <v>1000</v>
      </c>
      <c r="F55" s="7">
        <f>المخزون!E54</f>
        <v>0</v>
      </c>
      <c r="G55" s="7">
        <f t="shared" si="0"/>
        <v>1000</v>
      </c>
      <c r="H55" s="1">
        <f>المخزون!G47</f>
        <v>0</v>
      </c>
      <c r="I55" s="8">
        <v>0.9</v>
      </c>
      <c r="J55" s="7">
        <f t="shared" si="1"/>
        <v>0</v>
      </c>
      <c r="K55" s="7">
        <v>1200</v>
      </c>
      <c r="L55" s="9">
        <f t="shared" si="2"/>
        <v>2200</v>
      </c>
    </row>
    <row r="56" spans="1:12" x14ac:dyDescent="0.25">
      <c r="A56" s="1">
        <f>المخزون!A55</f>
        <v>0</v>
      </c>
      <c r="B56" s="1">
        <f>المخزون!C45</f>
        <v>0</v>
      </c>
      <c r="C56" s="1">
        <f>المخزون!D45</f>
        <v>0</v>
      </c>
      <c r="D56" s="1">
        <f>المخزون!F45</f>
        <v>0</v>
      </c>
      <c r="E56" s="7">
        <v>1000</v>
      </c>
      <c r="F56" s="7">
        <f>المخزون!E55</f>
        <v>0</v>
      </c>
      <c r="G56" s="7">
        <f t="shared" si="0"/>
        <v>1000</v>
      </c>
      <c r="H56" s="1">
        <f>المخزون!G48</f>
        <v>0</v>
      </c>
      <c r="I56" s="8">
        <v>0.9</v>
      </c>
      <c r="J56" s="7">
        <f t="shared" si="1"/>
        <v>0</v>
      </c>
      <c r="K56" s="7">
        <v>1200</v>
      </c>
      <c r="L56" s="9">
        <f t="shared" si="2"/>
        <v>2200</v>
      </c>
    </row>
    <row r="57" spans="1:12" x14ac:dyDescent="0.25">
      <c r="A57" s="1">
        <f>المخزون!A56</f>
        <v>0</v>
      </c>
      <c r="B57" s="1">
        <f>المخزون!C46</f>
        <v>0</v>
      </c>
      <c r="C57" s="1">
        <f>المخزون!D46</f>
        <v>0</v>
      </c>
      <c r="D57" s="1">
        <f>المخزون!F46</f>
        <v>0</v>
      </c>
      <c r="E57" s="7">
        <v>1000</v>
      </c>
      <c r="F57" s="7">
        <f>المخزون!E56</f>
        <v>0</v>
      </c>
      <c r="G57" s="7">
        <f t="shared" si="0"/>
        <v>1000</v>
      </c>
      <c r="H57" s="1">
        <f>المخزون!G49</f>
        <v>0</v>
      </c>
      <c r="I57" s="8">
        <v>0.9</v>
      </c>
      <c r="J57" s="7">
        <f t="shared" si="1"/>
        <v>0</v>
      </c>
      <c r="K57" s="7">
        <v>1200</v>
      </c>
      <c r="L57" s="9">
        <f t="shared" si="2"/>
        <v>2200</v>
      </c>
    </row>
    <row r="58" spans="1:12" x14ac:dyDescent="0.25">
      <c r="A58" s="1">
        <f>المخزون!A57</f>
        <v>0</v>
      </c>
      <c r="B58" s="1">
        <f>المخزون!C47</f>
        <v>0</v>
      </c>
      <c r="C58" s="1">
        <f>المخزون!D47</f>
        <v>0</v>
      </c>
      <c r="D58" s="1">
        <f>المخزون!F47</f>
        <v>0</v>
      </c>
      <c r="E58" s="7">
        <v>1000</v>
      </c>
      <c r="F58" s="7">
        <f>المخزون!E47</f>
        <v>0</v>
      </c>
      <c r="G58" s="7">
        <f t="shared" si="0"/>
        <v>1000</v>
      </c>
      <c r="H58" s="1">
        <f>المخزون!G50</f>
        <v>0</v>
      </c>
      <c r="I58" s="8">
        <v>0.9</v>
      </c>
      <c r="J58" s="7">
        <f t="shared" ref="J58:J63" si="3">H58*I58</f>
        <v>0</v>
      </c>
      <c r="K58" s="7">
        <v>1200</v>
      </c>
      <c r="L58" s="9">
        <f t="shared" si="2"/>
        <v>2200</v>
      </c>
    </row>
    <row r="59" spans="1:12" x14ac:dyDescent="0.25">
      <c r="A59" s="1">
        <f>المخزون!A58</f>
        <v>0</v>
      </c>
      <c r="B59" s="1">
        <f>المخزون!C48</f>
        <v>0</v>
      </c>
      <c r="C59" s="1">
        <f>المخزون!D48</f>
        <v>0</v>
      </c>
      <c r="D59" s="1">
        <f>المخزون!F48</f>
        <v>0</v>
      </c>
      <c r="E59" s="7">
        <v>1000</v>
      </c>
      <c r="F59" s="7">
        <f>المخزون!E48</f>
        <v>0</v>
      </c>
      <c r="G59" s="7">
        <f t="shared" si="0"/>
        <v>1000</v>
      </c>
      <c r="H59" s="1">
        <f>المخزون!G51</f>
        <v>0</v>
      </c>
      <c r="I59" s="8">
        <v>0.9</v>
      </c>
      <c r="J59" s="7">
        <f t="shared" si="3"/>
        <v>0</v>
      </c>
      <c r="K59" s="7">
        <v>1200</v>
      </c>
      <c r="L59" s="9">
        <f t="shared" si="2"/>
        <v>2200</v>
      </c>
    </row>
    <row r="60" spans="1:12" x14ac:dyDescent="0.25">
      <c r="A60" s="1">
        <f>المخزون!A59</f>
        <v>0</v>
      </c>
      <c r="B60" s="1">
        <f>المخزون!C49</f>
        <v>0</v>
      </c>
      <c r="C60" s="1">
        <f>المخزون!D49</f>
        <v>0</v>
      </c>
      <c r="D60" s="1">
        <f>المخزون!F49</f>
        <v>0</v>
      </c>
      <c r="E60" s="7">
        <v>1000</v>
      </c>
      <c r="F60" s="7">
        <f>المخزون!E49</f>
        <v>0</v>
      </c>
      <c r="G60" s="7">
        <f t="shared" ref="G60:G63" si="4">E60+F60</f>
        <v>1000</v>
      </c>
      <c r="H60" s="1">
        <f>المخزون!G52</f>
        <v>0</v>
      </c>
      <c r="I60" s="8">
        <v>0.9</v>
      </c>
      <c r="J60" s="7">
        <f t="shared" si="3"/>
        <v>0</v>
      </c>
      <c r="K60" s="7">
        <v>1200</v>
      </c>
      <c r="L60" s="9">
        <f t="shared" si="2"/>
        <v>2200</v>
      </c>
    </row>
    <row r="61" spans="1:12" x14ac:dyDescent="0.25">
      <c r="A61" s="1">
        <f>المخزون!A60</f>
        <v>0</v>
      </c>
      <c r="B61" s="1">
        <f>المخزون!C48</f>
        <v>0</v>
      </c>
      <c r="C61" s="1">
        <f>المخزون!D50</f>
        <v>0</v>
      </c>
      <c r="D61" s="1">
        <f>المخزون!F50</f>
        <v>0</v>
      </c>
      <c r="E61" s="7">
        <v>1000</v>
      </c>
      <c r="F61" s="7">
        <f>المخزون!E50</f>
        <v>0</v>
      </c>
      <c r="G61" s="7">
        <f t="shared" si="4"/>
        <v>1000</v>
      </c>
      <c r="H61" s="1">
        <f>المخزون!G53</f>
        <v>0</v>
      </c>
      <c r="I61" s="8">
        <v>0.9</v>
      </c>
      <c r="J61" s="7">
        <f t="shared" si="3"/>
        <v>0</v>
      </c>
      <c r="K61" s="7">
        <v>1200</v>
      </c>
      <c r="L61" s="9">
        <f t="shared" si="2"/>
        <v>2200</v>
      </c>
    </row>
    <row r="62" spans="1:12" x14ac:dyDescent="0.25">
      <c r="A62" s="1">
        <f>المخزون!A51</f>
        <v>0</v>
      </c>
      <c r="B62" s="1">
        <f>المخزون!C49</f>
        <v>0</v>
      </c>
      <c r="C62" s="1">
        <f>المخزون!D43</f>
        <v>0</v>
      </c>
      <c r="D62" s="1">
        <f>المخزون!F51</f>
        <v>0</v>
      </c>
      <c r="E62" s="7">
        <v>1000</v>
      </c>
      <c r="F62" s="7">
        <f>المخزون!E43</f>
        <v>0</v>
      </c>
      <c r="G62" s="7">
        <f t="shared" si="4"/>
        <v>1000</v>
      </c>
      <c r="I62" s="8">
        <v>0.9</v>
      </c>
      <c r="J62" s="7">
        <f t="shared" si="3"/>
        <v>0</v>
      </c>
      <c r="K62" s="7">
        <v>1200</v>
      </c>
      <c r="L62" s="9">
        <f t="shared" ref="L62:L63" si="5">(G62+K62)-J62</f>
        <v>2200</v>
      </c>
    </row>
    <row r="63" spans="1:12" x14ac:dyDescent="0.25">
      <c r="A63" s="1">
        <f>المخزون!A52</f>
        <v>0</v>
      </c>
      <c r="B63" s="1">
        <f>المخزون!C50</f>
        <v>0</v>
      </c>
      <c r="C63" s="1">
        <f>المخزون!D44</f>
        <v>0</v>
      </c>
      <c r="D63" s="1">
        <f>المخزون!F52</f>
        <v>0</v>
      </c>
      <c r="E63" s="7">
        <v>1000</v>
      </c>
      <c r="F63" s="7">
        <f>المخزون!E44</f>
        <v>0</v>
      </c>
      <c r="G63" s="7">
        <f t="shared" si="4"/>
        <v>1000</v>
      </c>
      <c r="I63" s="8">
        <v>0.9</v>
      </c>
      <c r="J63" s="7">
        <f t="shared" si="3"/>
        <v>0</v>
      </c>
      <c r="K63" s="7">
        <v>1200</v>
      </c>
      <c r="L63" s="9">
        <f t="shared" si="5"/>
        <v>2200</v>
      </c>
    </row>
    <row r="64" spans="1:12" x14ac:dyDescent="0.25">
      <c r="A64" s="1">
        <f>المخزون!A53</f>
        <v>0</v>
      </c>
      <c r="B64" s="1">
        <f>المخزون!C51</f>
        <v>0</v>
      </c>
      <c r="C64" s="1">
        <f>المخزون!D45</f>
        <v>0</v>
      </c>
      <c r="D64" s="1">
        <f>المخزون!F45</f>
        <v>0</v>
      </c>
      <c r="F64" s="7">
        <f>المخزون!E45</f>
        <v>0</v>
      </c>
    </row>
    <row r="65" spans="1:6" x14ac:dyDescent="0.25">
      <c r="A65" s="1">
        <f>المخزون!A52</f>
        <v>0</v>
      </c>
      <c r="B65" s="1">
        <f>المخزون!C52</f>
        <v>0</v>
      </c>
      <c r="C65" s="1">
        <f>المخزون!D46</f>
        <v>0</v>
      </c>
      <c r="D65" s="1">
        <f>المخزون!F46</f>
        <v>0</v>
      </c>
      <c r="F65" s="7">
        <f>المخزون!E46</f>
        <v>0</v>
      </c>
    </row>
  </sheetData>
  <mergeCells count="38">
    <mergeCell ref="M2:M3"/>
    <mergeCell ref="A1:L1"/>
    <mergeCell ref="E2:E3"/>
    <mergeCell ref="F2:F3"/>
    <mergeCell ref="G2:G3"/>
    <mergeCell ref="H2:H3"/>
    <mergeCell ref="I2:I3"/>
    <mergeCell ref="J2:J3"/>
    <mergeCell ref="K2:K3"/>
    <mergeCell ref="L2:L3"/>
    <mergeCell ref="B2:B3"/>
    <mergeCell ref="C2:C3"/>
    <mergeCell ref="A2:A3"/>
    <mergeCell ref="D2:D3"/>
    <mergeCell ref="N10:S10"/>
    <mergeCell ref="N11:S11"/>
    <mergeCell ref="N12:S12"/>
    <mergeCell ref="N1:S1"/>
    <mergeCell ref="N4:S4"/>
    <mergeCell ref="N5:S5"/>
    <mergeCell ref="N6:S6"/>
    <mergeCell ref="N7:S7"/>
    <mergeCell ref="N23:S23"/>
    <mergeCell ref="N24:S24"/>
    <mergeCell ref="N25:S25"/>
    <mergeCell ref="N2:S3"/>
    <mergeCell ref="N18:S18"/>
    <mergeCell ref="N19:S19"/>
    <mergeCell ref="N20:S20"/>
    <mergeCell ref="N21:S21"/>
    <mergeCell ref="N22:S22"/>
    <mergeCell ref="N13:S13"/>
    <mergeCell ref="N14:S14"/>
    <mergeCell ref="N15:S15"/>
    <mergeCell ref="N16:S16"/>
    <mergeCell ref="N17:S17"/>
    <mergeCell ref="N8:S8"/>
    <mergeCell ref="N9:S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F06A-43F1-41B1-B78F-C23A4636077D}">
  <sheetPr codeName="Sheet4"/>
  <dimension ref="A1:AC63"/>
  <sheetViews>
    <sheetView topLeftCell="A7" workbookViewId="0">
      <selection activeCell="E16" sqref="E16"/>
    </sheetView>
  </sheetViews>
  <sheetFormatPr defaultRowHeight="15" x14ac:dyDescent="0.25"/>
  <cols>
    <col min="1" max="1" width="21.140625" bestFit="1" customWidth="1"/>
    <col min="2" max="2" width="6.7109375" bestFit="1" customWidth="1"/>
    <col min="3" max="3" width="13.28515625" bestFit="1" customWidth="1"/>
    <col min="4" max="5" width="6" bestFit="1" customWidth="1"/>
    <col min="6" max="6" width="9.7109375" bestFit="1" customWidth="1"/>
    <col min="7" max="7" width="5" bestFit="1" customWidth="1"/>
    <col min="8" max="8" width="10.42578125" bestFit="1" customWidth="1"/>
    <col min="9" max="9" width="8.140625" bestFit="1" customWidth="1"/>
    <col min="10" max="10" width="8.42578125" bestFit="1" customWidth="1"/>
    <col min="11" max="11" width="12.140625" bestFit="1" customWidth="1"/>
    <col min="12" max="12" width="9.140625" style="6"/>
    <col min="13" max="13" width="21.140625" bestFit="1" customWidth="1"/>
    <col min="14" max="14" width="6.7109375" bestFit="1" customWidth="1"/>
    <col min="15" max="15" width="13.28515625" customWidth="1"/>
    <col min="16" max="16" width="6" customWidth="1"/>
    <col min="17" max="17" width="6" bestFit="1" customWidth="1"/>
    <col min="18" max="18" width="9.7109375" bestFit="1" customWidth="1"/>
    <col min="19" max="19" width="5" bestFit="1" customWidth="1"/>
    <col min="20" max="20" width="10.42578125" bestFit="1" customWidth="1"/>
    <col min="21" max="21" width="8.140625" bestFit="1" customWidth="1"/>
    <col min="22" max="22" width="8.42578125" bestFit="1" customWidth="1"/>
    <col min="23" max="23" width="12.140625" bestFit="1" customWidth="1"/>
    <col min="26" max="26" width="7.42578125" customWidth="1"/>
  </cols>
  <sheetData>
    <row r="1" spans="1:29" ht="26.25" x14ac:dyDescent="0.25">
      <c r="A1" s="24" t="s">
        <v>19</v>
      </c>
      <c r="B1" s="24"/>
      <c r="C1" s="24"/>
      <c r="D1" s="24"/>
      <c r="E1" s="24"/>
      <c r="F1" s="24"/>
      <c r="G1" s="24"/>
      <c r="H1" s="24"/>
      <c r="I1" s="24"/>
      <c r="J1" s="24"/>
      <c r="K1" s="11">
        <v>0.9</v>
      </c>
      <c r="M1" s="24" t="s">
        <v>76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3" t="s">
        <v>49</v>
      </c>
      <c r="Y1" s="23"/>
      <c r="Z1" s="23"/>
      <c r="AA1" s="23"/>
      <c r="AB1" s="23"/>
      <c r="AC1" s="23"/>
    </row>
    <row r="2" spans="1:29" x14ac:dyDescent="0.25">
      <c r="A2" s="21" t="s">
        <v>5</v>
      </c>
      <c r="B2" s="21" t="s">
        <v>4</v>
      </c>
      <c r="C2" s="26" t="s">
        <v>12</v>
      </c>
      <c r="D2" s="26" t="s">
        <v>10</v>
      </c>
      <c r="E2" s="26" t="s">
        <v>6</v>
      </c>
      <c r="F2" s="26" t="s">
        <v>7</v>
      </c>
      <c r="G2" s="26" t="s">
        <v>13</v>
      </c>
      <c r="H2" s="26" t="s">
        <v>8</v>
      </c>
      <c r="I2" s="26" t="s">
        <v>9</v>
      </c>
      <c r="J2" s="26" t="s">
        <v>11</v>
      </c>
      <c r="K2" s="26" t="s">
        <v>14</v>
      </c>
      <c r="M2" s="21" t="s">
        <v>5</v>
      </c>
      <c r="N2" s="21" t="s">
        <v>4</v>
      </c>
      <c r="O2" s="26" t="s">
        <v>12</v>
      </c>
      <c r="P2" s="26" t="s">
        <v>10</v>
      </c>
      <c r="Q2" s="26" t="s">
        <v>6</v>
      </c>
      <c r="R2" s="26" t="s">
        <v>7</v>
      </c>
      <c r="S2" s="26" t="s">
        <v>13</v>
      </c>
      <c r="T2" s="26" t="s">
        <v>8</v>
      </c>
      <c r="U2" s="26" t="s">
        <v>9</v>
      </c>
      <c r="V2" s="26" t="s">
        <v>11</v>
      </c>
      <c r="W2" s="26" t="s">
        <v>14</v>
      </c>
      <c r="X2" s="21" t="s">
        <v>55</v>
      </c>
      <c r="Y2" s="21"/>
      <c r="Z2" s="21"/>
      <c r="AA2" s="21"/>
      <c r="AB2" s="21"/>
      <c r="AC2" s="21"/>
    </row>
    <row r="3" spans="1:29" x14ac:dyDescent="0.25">
      <c r="A3" s="21"/>
      <c r="B3" s="21"/>
      <c r="C3" s="26"/>
      <c r="D3" s="26"/>
      <c r="E3" s="26"/>
      <c r="F3" s="26"/>
      <c r="G3" s="26"/>
      <c r="H3" s="26"/>
      <c r="I3" s="26"/>
      <c r="J3" s="26"/>
      <c r="K3" s="26"/>
      <c r="M3" s="21"/>
      <c r="N3" s="21"/>
      <c r="O3" s="26"/>
      <c r="P3" s="26"/>
      <c r="Q3" s="26"/>
      <c r="R3" s="26"/>
      <c r="S3" s="26"/>
      <c r="T3" s="26"/>
      <c r="U3" s="26"/>
      <c r="V3" s="26"/>
      <c r="W3" s="26"/>
      <c r="X3" s="21"/>
      <c r="Y3" s="21"/>
      <c r="Z3" s="21"/>
      <c r="AA3" s="21"/>
      <c r="AB3" s="21"/>
      <c r="AC3" s="21"/>
    </row>
    <row r="4" spans="1:29" x14ac:dyDescent="0.25">
      <c r="A4" t="str">
        <f>المخزون!A3</f>
        <v>BYD Dolphyn</v>
      </c>
      <c r="B4">
        <f>المخزون!F3</f>
        <v>2022</v>
      </c>
      <c r="C4" s="2">
        <v>1000</v>
      </c>
      <c r="D4" s="2">
        <f>المخزون!E3</f>
        <v>12800</v>
      </c>
      <c r="E4" s="2">
        <f>D4+C4</f>
        <v>13800</v>
      </c>
      <c r="F4" s="1">
        <f>المخزون!H3</f>
        <v>13500</v>
      </c>
      <c r="G4" s="4">
        <v>0.9</v>
      </c>
      <c r="H4" s="2">
        <f>F4*G4</f>
        <v>12150</v>
      </c>
      <c r="I4" s="2">
        <v>850</v>
      </c>
      <c r="J4">
        <f>H4+I4</f>
        <v>13000</v>
      </c>
      <c r="K4" s="3">
        <f>(E4+I4)-H4</f>
        <v>2500</v>
      </c>
      <c r="M4" t="str">
        <f>المخزون!A3</f>
        <v>BYD Dolphyn</v>
      </c>
      <c r="N4">
        <f>المخزون!F3</f>
        <v>2022</v>
      </c>
      <c r="O4" s="2">
        <v>1000</v>
      </c>
      <c r="P4" s="2">
        <f>المخزون!E3</f>
        <v>12800</v>
      </c>
      <c r="Q4" s="2">
        <f>O4+P4</f>
        <v>13800</v>
      </c>
      <c r="R4" s="1">
        <f>المخزون!H3</f>
        <v>13500</v>
      </c>
      <c r="S4" s="4">
        <v>0.85</v>
      </c>
      <c r="T4" s="2">
        <f>R4*S4</f>
        <v>11475</v>
      </c>
      <c r="U4" s="2">
        <v>850</v>
      </c>
      <c r="V4">
        <f>T4+U4</f>
        <v>12325</v>
      </c>
      <c r="W4" s="3">
        <f>(Q4+U4)-T4</f>
        <v>3175</v>
      </c>
      <c r="X4" s="21" t="s">
        <v>50</v>
      </c>
      <c r="Y4" s="21"/>
      <c r="Z4" s="21"/>
      <c r="AA4" s="21"/>
      <c r="AB4" s="21"/>
      <c r="AC4" s="21"/>
    </row>
    <row r="5" spans="1:29" x14ac:dyDescent="0.25">
      <c r="A5" t="str">
        <f>المخزون!A4</f>
        <v>Hyundai Enciano</v>
      </c>
      <c r="B5">
        <f>المخزون!F4</f>
        <v>2019</v>
      </c>
      <c r="C5" s="2">
        <v>1000</v>
      </c>
      <c r="D5" s="2">
        <f>المخزون!E4</f>
        <v>15500</v>
      </c>
      <c r="E5" s="2">
        <f t="shared" ref="E5:E57" si="0">D5+C5</f>
        <v>16500</v>
      </c>
      <c r="F5" s="1" t="str">
        <f>المخزون!H4</f>
        <v>Cash Only</v>
      </c>
      <c r="G5" s="4">
        <v>0.9</v>
      </c>
      <c r="H5" s="2" t="e">
        <f t="shared" ref="H5:H42" si="1">F5*G5</f>
        <v>#VALUE!</v>
      </c>
      <c r="I5" s="2">
        <v>850</v>
      </c>
      <c r="J5" t="e">
        <f t="shared" ref="J5:J55" si="2">H5+I5</f>
        <v>#VALUE!</v>
      </c>
      <c r="K5" s="3" t="e">
        <f t="shared" ref="K5:K57" si="3">(E5+I5)-H5</f>
        <v>#VALUE!</v>
      </c>
      <c r="M5" t="str">
        <f>المخزون!A4</f>
        <v>Hyundai Enciano</v>
      </c>
      <c r="N5">
        <f>المخزون!F4</f>
        <v>2019</v>
      </c>
      <c r="O5" s="2">
        <v>1000</v>
      </c>
      <c r="P5" s="2">
        <f>المخزون!E4</f>
        <v>15500</v>
      </c>
      <c r="Q5" s="2">
        <f t="shared" ref="Q5:Q51" si="4">O5+P5</f>
        <v>16500</v>
      </c>
      <c r="R5" s="1" t="str">
        <f>المخزون!H4</f>
        <v>Cash Only</v>
      </c>
      <c r="S5" s="4">
        <v>0.85</v>
      </c>
      <c r="T5" s="2" t="e">
        <f t="shared" ref="T5:T50" si="5">R5*S5</f>
        <v>#VALUE!</v>
      </c>
      <c r="U5" s="2">
        <v>850</v>
      </c>
      <c r="V5" t="e">
        <f t="shared" ref="V5:V55" si="6">T5+U5</f>
        <v>#VALUE!</v>
      </c>
      <c r="W5" s="3" t="e">
        <f t="shared" ref="W5:W57" si="7">(Q5+U5)-T5</f>
        <v>#VALUE!</v>
      </c>
      <c r="X5" s="21" t="s">
        <v>56</v>
      </c>
      <c r="Y5" s="21"/>
      <c r="Z5" s="21"/>
      <c r="AA5" s="21"/>
      <c r="AB5" s="21"/>
      <c r="AC5" s="21"/>
    </row>
    <row r="6" spans="1:29" x14ac:dyDescent="0.25">
      <c r="A6" t="str">
        <f>المخزون!A5</f>
        <v>Neta V</v>
      </c>
      <c r="B6">
        <f>المخزون!F5</f>
        <v>2022</v>
      </c>
      <c r="C6" s="2">
        <v>1000</v>
      </c>
      <c r="D6" s="2">
        <f>المخزون!E5</f>
        <v>9700</v>
      </c>
      <c r="E6" s="2">
        <f t="shared" si="0"/>
        <v>10700</v>
      </c>
      <c r="F6" s="1">
        <f>المخزون!H5</f>
        <v>11000</v>
      </c>
      <c r="G6" s="4">
        <v>0.9</v>
      </c>
      <c r="H6" s="2">
        <f t="shared" si="1"/>
        <v>9900</v>
      </c>
      <c r="I6" s="2">
        <v>850</v>
      </c>
      <c r="J6">
        <f t="shared" si="2"/>
        <v>10750</v>
      </c>
      <c r="K6" s="3">
        <f t="shared" si="3"/>
        <v>1650</v>
      </c>
      <c r="M6" t="str">
        <f>المخزون!A5</f>
        <v>Neta V</v>
      </c>
      <c r="N6">
        <f>المخزون!F5</f>
        <v>2022</v>
      </c>
      <c r="O6" s="2">
        <v>1000</v>
      </c>
      <c r="P6" s="2">
        <f>المخزون!E5</f>
        <v>9700</v>
      </c>
      <c r="Q6" s="2">
        <f t="shared" si="4"/>
        <v>10700</v>
      </c>
      <c r="R6" s="1">
        <f>المخزون!H5</f>
        <v>11000</v>
      </c>
      <c r="S6" s="4">
        <v>0.85</v>
      </c>
      <c r="T6" s="2">
        <f t="shared" si="5"/>
        <v>9350</v>
      </c>
      <c r="U6" s="2">
        <v>850</v>
      </c>
      <c r="V6">
        <f t="shared" si="6"/>
        <v>10200</v>
      </c>
      <c r="W6" s="3">
        <f t="shared" si="7"/>
        <v>2200</v>
      </c>
      <c r="X6" s="21" t="s">
        <v>57</v>
      </c>
      <c r="Y6" s="21"/>
      <c r="Z6" s="21"/>
      <c r="AA6" s="21"/>
      <c r="AB6" s="21"/>
      <c r="AC6" s="21"/>
    </row>
    <row r="7" spans="1:29" x14ac:dyDescent="0.25">
      <c r="A7" t="str">
        <f>المخزون!A6</f>
        <v>Neta V</v>
      </c>
      <c r="B7">
        <f>المخزون!F6</f>
        <v>2021</v>
      </c>
      <c r="C7" s="2">
        <v>1000</v>
      </c>
      <c r="D7" s="2">
        <f>المخزون!E6</f>
        <v>8700</v>
      </c>
      <c r="E7" s="2">
        <f t="shared" si="0"/>
        <v>9700</v>
      </c>
      <c r="F7" s="1">
        <f>المخزون!H6</f>
        <v>9000</v>
      </c>
      <c r="G7" s="4">
        <v>0.9</v>
      </c>
      <c r="H7" s="2">
        <f t="shared" si="1"/>
        <v>8100</v>
      </c>
      <c r="I7" s="2">
        <v>850</v>
      </c>
      <c r="J7">
        <f t="shared" si="2"/>
        <v>8950</v>
      </c>
      <c r="K7" s="3">
        <f t="shared" si="3"/>
        <v>2450</v>
      </c>
      <c r="M7" t="str">
        <f>المخزون!A6</f>
        <v>Neta V</v>
      </c>
      <c r="N7">
        <f>المخزون!F6</f>
        <v>2021</v>
      </c>
      <c r="O7" s="2">
        <v>1000</v>
      </c>
      <c r="P7" s="2">
        <f>المخزون!E6</f>
        <v>8700</v>
      </c>
      <c r="Q7" s="2">
        <f t="shared" si="4"/>
        <v>9700</v>
      </c>
      <c r="R7" s="1">
        <f>المخزون!H6</f>
        <v>9000</v>
      </c>
      <c r="S7" s="4">
        <v>0.85</v>
      </c>
      <c r="T7" s="2">
        <f t="shared" si="5"/>
        <v>7650</v>
      </c>
      <c r="U7" s="2">
        <v>850</v>
      </c>
      <c r="V7">
        <f t="shared" si="6"/>
        <v>8500</v>
      </c>
      <c r="W7" s="3">
        <f t="shared" si="7"/>
        <v>2900</v>
      </c>
      <c r="X7" s="21" t="s">
        <v>58</v>
      </c>
      <c r="Y7" s="21"/>
      <c r="Z7" s="21"/>
      <c r="AA7" s="21"/>
      <c r="AB7" s="21"/>
      <c r="AC7" s="21"/>
    </row>
    <row r="8" spans="1:29" x14ac:dyDescent="0.25">
      <c r="A8" t="str">
        <f>المخزون!A7</f>
        <v>Neta U / FULL</v>
      </c>
      <c r="B8">
        <f>المخزون!F7</f>
        <v>2022</v>
      </c>
      <c r="C8" s="2">
        <v>1000</v>
      </c>
      <c r="D8" s="2">
        <f>المخزون!E7</f>
        <v>15000</v>
      </c>
      <c r="E8" s="2">
        <f t="shared" si="0"/>
        <v>16000</v>
      </c>
      <c r="F8" s="1">
        <f>المخزون!H7</f>
        <v>15500</v>
      </c>
      <c r="G8" s="4">
        <v>0.9</v>
      </c>
      <c r="H8" s="2">
        <f t="shared" si="1"/>
        <v>13950</v>
      </c>
      <c r="I8" s="2">
        <v>850</v>
      </c>
      <c r="J8">
        <f t="shared" si="2"/>
        <v>14800</v>
      </c>
      <c r="K8" s="3">
        <f t="shared" si="3"/>
        <v>2900</v>
      </c>
      <c r="M8" t="str">
        <f>المخزون!A7</f>
        <v>Neta U / FULL</v>
      </c>
      <c r="N8">
        <f>المخزون!F7</f>
        <v>2022</v>
      </c>
      <c r="O8" s="2">
        <v>1000</v>
      </c>
      <c r="P8" s="2">
        <f>المخزون!E7</f>
        <v>15000</v>
      </c>
      <c r="Q8" s="2">
        <f t="shared" si="4"/>
        <v>16000</v>
      </c>
      <c r="R8" s="1">
        <f>المخزون!H7</f>
        <v>15500</v>
      </c>
      <c r="S8" s="4">
        <v>0.85</v>
      </c>
      <c r="T8" s="2">
        <f t="shared" si="5"/>
        <v>13175</v>
      </c>
      <c r="U8" s="2">
        <v>850</v>
      </c>
      <c r="V8">
        <f t="shared" si="6"/>
        <v>14025</v>
      </c>
      <c r="W8" s="3">
        <f t="shared" si="7"/>
        <v>3675</v>
      </c>
      <c r="X8" s="21" t="s">
        <v>59</v>
      </c>
      <c r="Y8" s="21"/>
      <c r="Z8" s="21"/>
      <c r="AA8" s="21"/>
      <c r="AB8" s="21"/>
      <c r="AC8" s="21"/>
    </row>
    <row r="9" spans="1:29" x14ac:dyDescent="0.25">
      <c r="A9" t="str">
        <f>المخزون!A8</f>
        <v>Neta Aya</v>
      </c>
      <c r="B9">
        <f>المخزون!F8</f>
        <v>2023</v>
      </c>
      <c r="C9" s="2">
        <v>1000</v>
      </c>
      <c r="D9" s="2">
        <f>المخزون!E8</f>
        <v>10100</v>
      </c>
      <c r="E9" s="2">
        <f t="shared" si="0"/>
        <v>11100</v>
      </c>
      <c r="F9" s="1">
        <f>المخزون!H8</f>
        <v>11500</v>
      </c>
      <c r="G9" s="4">
        <v>0.9</v>
      </c>
      <c r="H9" s="2">
        <f t="shared" si="1"/>
        <v>10350</v>
      </c>
      <c r="I9" s="2">
        <v>850</v>
      </c>
      <c r="J9">
        <f t="shared" si="2"/>
        <v>11200</v>
      </c>
      <c r="K9" s="3">
        <f t="shared" si="3"/>
        <v>1600</v>
      </c>
      <c r="M9" t="str">
        <f>المخزون!A8</f>
        <v>Neta Aya</v>
      </c>
      <c r="N9">
        <f>المخزون!F8</f>
        <v>2023</v>
      </c>
      <c r="O9" s="2">
        <v>1000</v>
      </c>
      <c r="P9" s="2">
        <f>المخزون!E8</f>
        <v>10100</v>
      </c>
      <c r="Q9" s="2">
        <f t="shared" si="4"/>
        <v>11100</v>
      </c>
      <c r="R9" s="1">
        <f>المخزون!H8</f>
        <v>11500</v>
      </c>
      <c r="S9" s="4">
        <v>0.85</v>
      </c>
      <c r="T9" s="2">
        <f t="shared" si="5"/>
        <v>9775</v>
      </c>
      <c r="U9" s="2">
        <v>850</v>
      </c>
      <c r="V9">
        <f t="shared" si="6"/>
        <v>10625</v>
      </c>
      <c r="W9" s="3">
        <f t="shared" si="7"/>
        <v>2175</v>
      </c>
      <c r="X9" s="22"/>
      <c r="Y9" s="22"/>
      <c r="Z9" s="22"/>
      <c r="AA9" s="22"/>
      <c r="AB9" s="22"/>
      <c r="AC9" s="22"/>
    </row>
    <row r="10" spans="1:29" x14ac:dyDescent="0.25">
      <c r="A10" t="str">
        <f>المخزون!A9</f>
        <v>Neta X</v>
      </c>
      <c r="B10">
        <f>المخزون!F9</f>
        <v>2023</v>
      </c>
      <c r="C10" s="2">
        <v>1000</v>
      </c>
      <c r="D10" s="2">
        <f>المخزون!E9</f>
        <v>15500</v>
      </c>
      <c r="E10" s="2">
        <f t="shared" si="0"/>
        <v>16500</v>
      </c>
      <c r="F10" s="1">
        <f>المخزون!H9</f>
        <v>16500</v>
      </c>
      <c r="G10" s="4">
        <v>0.9</v>
      </c>
      <c r="H10" s="2">
        <f t="shared" si="1"/>
        <v>14850</v>
      </c>
      <c r="I10" s="2">
        <v>850</v>
      </c>
      <c r="J10">
        <f t="shared" si="2"/>
        <v>15700</v>
      </c>
      <c r="K10" s="3">
        <f t="shared" si="3"/>
        <v>2500</v>
      </c>
      <c r="M10" t="str">
        <f>المخزون!A9</f>
        <v>Neta X</v>
      </c>
      <c r="N10">
        <f>المخزون!F9</f>
        <v>2023</v>
      </c>
      <c r="O10" s="2">
        <v>1000</v>
      </c>
      <c r="P10" s="2">
        <f>المخزون!E9</f>
        <v>15500</v>
      </c>
      <c r="Q10" s="2">
        <f t="shared" si="4"/>
        <v>16500</v>
      </c>
      <c r="R10" s="1">
        <f>المخزون!H9</f>
        <v>16500</v>
      </c>
      <c r="S10" s="4">
        <v>0.85</v>
      </c>
      <c r="T10" s="2">
        <f t="shared" si="5"/>
        <v>14025</v>
      </c>
      <c r="U10" s="2">
        <v>850</v>
      </c>
      <c r="V10">
        <f t="shared" si="6"/>
        <v>14875</v>
      </c>
      <c r="W10" s="3">
        <f t="shared" si="7"/>
        <v>3325</v>
      </c>
      <c r="X10" s="25" t="s">
        <v>60</v>
      </c>
      <c r="Y10" s="25"/>
      <c r="Z10" s="25"/>
      <c r="AA10" s="25"/>
      <c r="AB10" s="25"/>
      <c r="AC10" s="25"/>
    </row>
    <row r="11" spans="1:29" x14ac:dyDescent="0.25">
      <c r="A11" t="str">
        <f>المخزون!A10</f>
        <v>BYD Yuan Plus</v>
      </c>
      <c r="B11">
        <f>المخزون!F10</f>
        <v>2023</v>
      </c>
      <c r="C11" s="2">
        <v>1000</v>
      </c>
      <c r="D11" s="2">
        <f>المخزون!E10</f>
        <v>17800</v>
      </c>
      <c r="E11" s="2">
        <f t="shared" si="0"/>
        <v>18800</v>
      </c>
      <c r="F11" s="1">
        <f>المخزون!H10</f>
        <v>19000</v>
      </c>
      <c r="G11" s="4">
        <v>0.9</v>
      </c>
      <c r="H11" s="2">
        <f t="shared" si="1"/>
        <v>17100</v>
      </c>
      <c r="I11" s="2">
        <v>850</v>
      </c>
      <c r="J11">
        <f t="shared" si="2"/>
        <v>17950</v>
      </c>
      <c r="K11" s="3">
        <f t="shared" si="3"/>
        <v>2550</v>
      </c>
      <c r="M11" t="str">
        <f>المخزون!A10</f>
        <v>BYD Yuan Plus</v>
      </c>
      <c r="N11">
        <f>المخزون!F10</f>
        <v>2023</v>
      </c>
      <c r="O11" s="2">
        <v>1000</v>
      </c>
      <c r="P11" s="2">
        <f>المخزون!E10</f>
        <v>17800</v>
      </c>
      <c r="Q11" s="2">
        <f t="shared" si="4"/>
        <v>18800</v>
      </c>
      <c r="R11" s="1">
        <f>المخزون!H10</f>
        <v>19000</v>
      </c>
      <c r="S11" s="4">
        <v>0.85</v>
      </c>
      <c r="T11" s="2">
        <f t="shared" si="5"/>
        <v>16150</v>
      </c>
      <c r="U11" s="2">
        <v>850</v>
      </c>
      <c r="V11">
        <f t="shared" si="6"/>
        <v>17000</v>
      </c>
      <c r="W11" s="3">
        <f t="shared" si="7"/>
        <v>3500</v>
      </c>
      <c r="X11" s="25"/>
      <c r="Y11" s="25"/>
      <c r="Z11" s="25"/>
      <c r="AA11" s="25"/>
      <c r="AB11" s="25"/>
      <c r="AC11" s="25"/>
    </row>
    <row r="12" spans="1:29" x14ac:dyDescent="0.25">
      <c r="A12" t="str">
        <f>المخزون!A11</f>
        <v>Nammi Box Dong Feng</v>
      </c>
      <c r="B12">
        <f>المخزون!F11</f>
        <v>2023</v>
      </c>
      <c r="C12" s="2">
        <v>1000</v>
      </c>
      <c r="D12" s="2">
        <f>المخزون!E11</f>
        <v>12000</v>
      </c>
      <c r="E12" s="2">
        <f t="shared" si="0"/>
        <v>13000</v>
      </c>
      <c r="F12" s="1" t="str">
        <f>المخزون!H11</f>
        <v>Cash Only</v>
      </c>
      <c r="G12" s="4">
        <v>0.9</v>
      </c>
      <c r="H12" s="2" t="e">
        <f t="shared" si="1"/>
        <v>#VALUE!</v>
      </c>
      <c r="I12" s="2">
        <v>850</v>
      </c>
      <c r="J12" t="e">
        <f t="shared" si="2"/>
        <v>#VALUE!</v>
      </c>
      <c r="K12" s="3" t="e">
        <f t="shared" si="3"/>
        <v>#VALUE!</v>
      </c>
      <c r="M12" t="str">
        <f>المخزون!A11</f>
        <v>Nammi Box Dong Feng</v>
      </c>
      <c r="N12">
        <f>المخزون!F11</f>
        <v>2023</v>
      </c>
      <c r="O12" s="2">
        <v>1000</v>
      </c>
      <c r="P12" s="2">
        <f>المخزون!E11</f>
        <v>12000</v>
      </c>
      <c r="Q12" s="2">
        <f t="shared" si="4"/>
        <v>13000</v>
      </c>
      <c r="R12" s="1" t="str">
        <f>المخزون!H11</f>
        <v>Cash Only</v>
      </c>
      <c r="S12" s="4">
        <v>0.85</v>
      </c>
      <c r="T12" s="2" t="e">
        <f t="shared" si="5"/>
        <v>#VALUE!</v>
      </c>
      <c r="U12" s="2">
        <v>850</v>
      </c>
      <c r="V12" t="e">
        <f t="shared" si="6"/>
        <v>#VALUE!</v>
      </c>
      <c r="W12" s="3" t="e">
        <f t="shared" si="7"/>
        <v>#VALUE!</v>
      </c>
      <c r="X12" s="22"/>
      <c r="Y12" s="22"/>
      <c r="Z12" s="22"/>
      <c r="AA12" s="22"/>
      <c r="AB12" s="22"/>
      <c r="AC12" s="22"/>
    </row>
    <row r="13" spans="1:29" x14ac:dyDescent="0.25">
      <c r="A13" t="str">
        <f>المخزون!A12</f>
        <v>E Golf</v>
      </c>
      <c r="B13">
        <f>المخزون!F12</f>
        <v>2021</v>
      </c>
      <c r="C13" s="2">
        <v>1000</v>
      </c>
      <c r="D13" s="2">
        <f>المخزون!E12</f>
        <v>12300</v>
      </c>
      <c r="E13" s="2">
        <f t="shared" si="0"/>
        <v>13300</v>
      </c>
      <c r="F13" s="1">
        <f>المخزون!H12</f>
        <v>13000</v>
      </c>
      <c r="G13" s="4">
        <v>0.9</v>
      </c>
      <c r="H13" s="2">
        <f t="shared" si="1"/>
        <v>11700</v>
      </c>
      <c r="I13" s="2">
        <v>850</v>
      </c>
      <c r="J13">
        <f t="shared" si="2"/>
        <v>12550</v>
      </c>
      <c r="K13" s="3">
        <f t="shared" si="3"/>
        <v>2450</v>
      </c>
      <c r="M13" t="str">
        <f>المخزون!A12</f>
        <v>E Golf</v>
      </c>
      <c r="N13">
        <f>المخزون!F12</f>
        <v>2021</v>
      </c>
      <c r="O13" s="2">
        <v>1000</v>
      </c>
      <c r="P13" s="2">
        <f>المخزون!E12</f>
        <v>12300</v>
      </c>
      <c r="Q13" s="2">
        <f t="shared" si="4"/>
        <v>13300</v>
      </c>
      <c r="R13" s="1">
        <f>المخزون!H12</f>
        <v>13000</v>
      </c>
      <c r="S13" s="4">
        <v>0.85</v>
      </c>
      <c r="T13" s="2">
        <f t="shared" si="5"/>
        <v>11050</v>
      </c>
      <c r="U13" s="2">
        <v>850</v>
      </c>
      <c r="V13">
        <f t="shared" si="6"/>
        <v>11900</v>
      </c>
      <c r="W13" s="3">
        <f t="shared" si="7"/>
        <v>3100</v>
      </c>
      <c r="X13" s="22"/>
      <c r="Y13" s="22"/>
      <c r="Z13" s="22"/>
      <c r="AA13" s="22"/>
      <c r="AB13" s="22"/>
      <c r="AC13" s="22"/>
    </row>
    <row r="14" spans="1:29" x14ac:dyDescent="0.25">
      <c r="A14" t="str">
        <f>المخزون!A13</f>
        <v>LaVida</v>
      </c>
      <c r="B14">
        <f>المخزون!F13</f>
        <v>2019</v>
      </c>
      <c r="C14" s="2">
        <v>1000</v>
      </c>
      <c r="D14" s="2">
        <f>المخزون!E13</f>
        <v>10700</v>
      </c>
      <c r="E14" s="2">
        <f t="shared" si="0"/>
        <v>11700</v>
      </c>
      <c r="F14" s="1">
        <f>المخزون!H13</f>
        <v>11700</v>
      </c>
      <c r="G14" s="4">
        <v>0.9</v>
      </c>
      <c r="H14" s="2">
        <f t="shared" si="1"/>
        <v>10530</v>
      </c>
      <c r="I14" s="2">
        <v>850</v>
      </c>
      <c r="J14">
        <f t="shared" si="2"/>
        <v>11380</v>
      </c>
      <c r="K14" s="3">
        <f t="shared" si="3"/>
        <v>2020</v>
      </c>
      <c r="M14" t="str">
        <f>المخزون!A13</f>
        <v>LaVida</v>
      </c>
      <c r="N14">
        <f>المخزون!F13</f>
        <v>2019</v>
      </c>
      <c r="O14" s="2">
        <v>1000</v>
      </c>
      <c r="P14" s="2">
        <f>المخزون!E13</f>
        <v>10700</v>
      </c>
      <c r="Q14" s="2">
        <f t="shared" si="4"/>
        <v>11700</v>
      </c>
      <c r="R14" s="1">
        <f>المخزون!H13</f>
        <v>11700</v>
      </c>
      <c r="S14" s="4">
        <v>0.85</v>
      </c>
      <c r="T14" s="2">
        <f t="shared" si="5"/>
        <v>9945</v>
      </c>
      <c r="U14" s="2">
        <v>850</v>
      </c>
      <c r="V14">
        <f t="shared" si="6"/>
        <v>10795</v>
      </c>
      <c r="W14" s="3">
        <f t="shared" si="7"/>
        <v>2605</v>
      </c>
      <c r="X14" s="22"/>
      <c r="Y14" s="22"/>
      <c r="Z14" s="22"/>
      <c r="AA14" s="22"/>
      <c r="AB14" s="22"/>
      <c r="AC14" s="22"/>
    </row>
    <row r="15" spans="1:29" x14ac:dyDescent="0.25">
      <c r="A15" t="str">
        <f>المخزون!A14</f>
        <v>LaVida</v>
      </c>
      <c r="B15">
        <f>المخزون!F14</f>
        <v>2021</v>
      </c>
      <c r="C15" s="2">
        <v>1000</v>
      </c>
      <c r="D15" s="2">
        <f>المخزون!E14</f>
        <v>11500</v>
      </c>
      <c r="E15" s="2">
        <f t="shared" si="0"/>
        <v>12500</v>
      </c>
      <c r="F15" s="1">
        <f>المخزون!H14</f>
        <v>13000</v>
      </c>
      <c r="G15" s="4">
        <v>0.9</v>
      </c>
      <c r="H15" s="2">
        <f t="shared" si="1"/>
        <v>11700</v>
      </c>
      <c r="I15" s="2">
        <v>850</v>
      </c>
      <c r="J15">
        <f t="shared" si="2"/>
        <v>12550</v>
      </c>
      <c r="K15" s="3">
        <f t="shared" si="3"/>
        <v>1650</v>
      </c>
      <c r="M15" t="str">
        <f>المخزون!A14</f>
        <v>LaVida</v>
      </c>
      <c r="N15">
        <f>المخزون!F14</f>
        <v>2021</v>
      </c>
      <c r="O15" s="2">
        <v>1000</v>
      </c>
      <c r="P15" s="2">
        <f>المخزون!E14</f>
        <v>11500</v>
      </c>
      <c r="Q15" s="2">
        <f t="shared" si="4"/>
        <v>12500</v>
      </c>
      <c r="R15" s="1">
        <f>المخزون!H14</f>
        <v>13000</v>
      </c>
      <c r="S15" s="4">
        <v>0.85</v>
      </c>
      <c r="T15" s="2">
        <f t="shared" si="5"/>
        <v>11050</v>
      </c>
      <c r="U15" s="2">
        <v>850</v>
      </c>
      <c r="V15">
        <f t="shared" si="6"/>
        <v>11900</v>
      </c>
      <c r="W15" s="3">
        <f t="shared" si="7"/>
        <v>2300</v>
      </c>
      <c r="X15" s="22"/>
      <c r="Y15" s="22"/>
      <c r="Z15" s="22"/>
      <c r="AA15" s="22"/>
      <c r="AB15" s="22"/>
      <c r="AC15" s="22"/>
    </row>
    <row r="16" spans="1:29" x14ac:dyDescent="0.25">
      <c r="A16" t="str">
        <f>المخزون!A15</f>
        <v>Nano</v>
      </c>
      <c r="B16">
        <f>المخزون!F15</f>
        <v>2022</v>
      </c>
      <c r="C16" s="2">
        <v>1000</v>
      </c>
      <c r="D16" s="2">
        <f>المخزون!E15</f>
        <v>8250</v>
      </c>
      <c r="E16" s="2">
        <f t="shared" si="0"/>
        <v>9250</v>
      </c>
      <c r="F16" s="1">
        <f>المخزون!H15</f>
        <v>9000</v>
      </c>
      <c r="G16" s="4">
        <v>0.9</v>
      </c>
      <c r="H16" s="2">
        <f t="shared" si="1"/>
        <v>8100</v>
      </c>
      <c r="I16" s="2">
        <v>850</v>
      </c>
      <c r="J16">
        <f t="shared" si="2"/>
        <v>8950</v>
      </c>
      <c r="K16" s="3">
        <f t="shared" si="3"/>
        <v>2000</v>
      </c>
      <c r="M16" t="str">
        <f>المخزون!A15</f>
        <v>Nano</v>
      </c>
      <c r="N16">
        <f>المخزون!F15</f>
        <v>2022</v>
      </c>
      <c r="O16" s="2">
        <v>1000</v>
      </c>
      <c r="P16" s="2">
        <f>المخزون!E15</f>
        <v>8250</v>
      </c>
      <c r="Q16" s="2">
        <f t="shared" si="4"/>
        <v>9250</v>
      </c>
      <c r="R16" s="1">
        <f>المخزون!H15</f>
        <v>9000</v>
      </c>
      <c r="S16" s="4">
        <v>0.85</v>
      </c>
      <c r="T16" s="2">
        <f t="shared" si="5"/>
        <v>7650</v>
      </c>
      <c r="U16" s="2">
        <v>850</v>
      </c>
      <c r="V16">
        <f t="shared" si="6"/>
        <v>8500</v>
      </c>
      <c r="W16" s="3">
        <f t="shared" si="7"/>
        <v>2450</v>
      </c>
      <c r="X16" s="22"/>
      <c r="Y16" s="22"/>
      <c r="Z16" s="22"/>
      <c r="AA16" s="22"/>
      <c r="AB16" s="22"/>
      <c r="AC16" s="22"/>
    </row>
    <row r="17" spans="1:29" x14ac:dyDescent="0.25">
      <c r="A17" t="str">
        <f>المخزون!A16</f>
        <v>Honda NS1</v>
      </c>
      <c r="B17">
        <f>المخزون!F16</f>
        <v>2023</v>
      </c>
      <c r="C17" s="2">
        <v>1000</v>
      </c>
      <c r="D17" s="2">
        <f>المخزون!E16</f>
        <v>16700</v>
      </c>
      <c r="E17" s="2">
        <f t="shared" si="0"/>
        <v>17700</v>
      </c>
      <c r="F17" s="1">
        <f>المخزون!H16</f>
        <v>17500</v>
      </c>
      <c r="G17" s="4">
        <v>0.9</v>
      </c>
      <c r="H17" s="2">
        <f t="shared" si="1"/>
        <v>15750</v>
      </c>
      <c r="I17" s="2">
        <v>850</v>
      </c>
      <c r="J17">
        <f t="shared" si="2"/>
        <v>16600</v>
      </c>
      <c r="K17" s="3">
        <f t="shared" si="3"/>
        <v>2800</v>
      </c>
      <c r="M17" t="str">
        <f>المخزون!A16</f>
        <v>Honda NS1</v>
      </c>
      <c r="N17">
        <f>المخزون!F16</f>
        <v>2023</v>
      </c>
      <c r="O17" s="2">
        <v>1000</v>
      </c>
      <c r="P17" s="2">
        <f>المخزون!E16</f>
        <v>16700</v>
      </c>
      <c r="Q17" s="2">
        <f t="shared" si="4"/>
        <v>17700</v>
      </c>
      <c r="R17" s="1">
        <f>المخزون!H16</f>
        <v>17500</v>
      </c>
      <c r="S17" s="4">
        <v>0.85</v>
      </c>
      <c r="T17" s="2">
        <f t="shared" si="5"/>
        <v>14875</v>
      </c>
      <c r="U17" s="2">
        <v>850</v>
      </c>
      <c r="V17">
        <f t="shared" si="6"/>
        <v>15725</v>
      </c>
      <c r="W17" s="3">
        <f t="shared" si="7"/>
        <v>3675</v>
      </c>
      <c r="X17" s="22"/>
      <c r="Y17" s="22"/>
      <c r="Z17" s="22"/>
      <c r="AA17" s="22"/>
      <c r="AB17" s="22"/>
      <c r="AC17" s="22"/>
    </row>
    <row r="18" spans="1:29" x14ac:dyDescent="0.25">
      <c r="A18" t="str">
        <f>المخزون!A17</f>
        <v>BYD seagall</v>
      </c>
      <c r="B18">
        <f>المخزون!F17</f>
        <v>2024</v>
      </c>
      <c r="C18" s="2">
        <v>1000</v>
      </c>
      <c r="D18" s="2">
        <f>المخزون!E17</f>
        <v>13250</v>
      </c>
      <c r="E18" s="2">
        <f t="shared" si="0"/>
        <v>14250</v>
      </c>
      <c r="F18" s="1">
        <f>المخزون!H17</f>
        <v>14500</v>
      </c>
      <c r="G18" s="4">
        <v>0.9</v>
      </c>
      <c r="H18" s="2">
        <f t="shared" si="1"/>
        <v>13050</v>
      </c>
      <c r="I18" s="2">
        <v>850</v>
      </c>
      <c r="J18">
        <f t="shared" si="2"/>
        <v>13900</v>
      </c>
      <c r="K18" s="3">
        <f t="shared" si="3"/>
        <v>2050</v>
      </c>
      <c r="M18" t="str">
        <f>المخزون!A17</f>
        <v>BYD seagall</v>
      </c>
      <c r="N18">
        <f>المخزون!F17</f>
        <v>2024</v>
      </c>
      <c r="O18" s="2">
        <v>1000</v>
      </c>
      <c r="P18" s="2">
        <f>المخزون!E17</f>
        <v>13250</v>
      </c>
      <c r="Q18" s="2">
        <f t="shared" si="4"/>
        <v>14250</v>
      </c>
      <c r="R18" s="1">
        <f>المخزون!H17</f>
        <v>14500</v>
      </c>
      <c r="S18" s="4">
        <v>0.85</v>
      </c>
      <c r="T18" s="2">
        <f t="shared" si="5"/>
        <v>12325</v>
      </c>
      <c r="U18" s="2">
        <v>850</v>
      </c>
      <c r="V18">
        <f t="shared" si="6"/>
        <v>13175</v>
      </c>
      <c r="W18" s="3">
        <f t="shared" si="7"/>
        <v>2775</v>
      </c>
      <c r="X18" s="22"/>
      <c r="Y18" s="22"/>
      <c r="Z18" s="22"/>
      <c r="AA18" s="22"/>
      <c r="AB18" s="22"/>
      <c r="AC18" s="22"/>
    </row>
    <row r="19" spans="1:29" x14ac:dyDescent="0.25">
      <c r="A19" t="str">
        <f>المخزون!A18</f>
        <v>toyota BZ3</v>
      </c>
      <c r="B19">
        <f>المخزون!F18</f>
        <v>2023</v>
      </c>
      <c r="C19" s="2">
        <v>1000</v>
      </c>
      <c r="D19" s="2">
        <f>المخزون!E18</f>
        <v>18000</v>
      </c>
      <c r="E19" s="2">
        <f t="shared" si="0"/>
        <v>19000</v>
      </c>
      <c r="F19" s="1">
        <f>المخزون!H18</f>
        <v>20000</v>
      </c>
      <c r="G19" s="4">
        <v>0.9</v>
      </c>
      <c r="H19" s="2">
        <f t="shared" si="1"/>
        <v>18000</v>
      </c>
      <c r="I19" s="2">
        <v>850</v>
      </c>
      <c r="J19">
        <f t="shared" si="2"/>
        <v>18850</v>
      </c>
      <c r="K19" s="3">
        <f t="shared" si="3"/>
        <v>1850</v>
      </c>
      <c r="M19" t="str">
        <f>المخزون!A18</f>
        <v>toyota BZ3</v>
      </c>
      <c r="N19">
        <f>المخزون!F18</f>
        <v>2023</v>
      </c>
      <c r="O19" s="2">
        <v>1000</v>
      </c>
      <c r="P19" s="2">
        <f>المخزون!E18</f>
        <v>18000</v>
      </c>
      <c r="Q19" s="2">
        <f t="shared" si="4"/>
        <v>19000</v>
      </c>
      <c r="R19" s="1">
        <f>المخزون!H18</f>
        <v>20000</v>
      </c>
      <c r="S19" s="4">
        <v>0.85</v>
      </c>
      <c r="T19" s="2">
        <f t="shared" si="5"/>
        <v>17000</v>
      </c>
      <c r="U19" s="2">
        <v>850</v>
      </c>
      <c r="V19">
        <f t="shared" si="6"/>
        <v>17850</v>
      </c>
      <c r="W19" s="3">
        <f t="shared" si="7"/>
        <v>2850</v>
      </c>
      <c r="X19" s="22"/>
      <c r="Y19" s="22"/>
      <c r="Z19" s="22"/>
      <c r="AA19" s="22"/>
      <c r="AB19" s="22"/>
      <c r="AC19" s="22"/>
    </row>
    <row r="20" spans="1:29" x14ac:dyDescent="0.25">
      <c r="A20" t="str">
        <f>المخزون!A19</f>
        <v>KIA EV5</v>
      </c>
      <c r="B20">
        <f>المخزون!F19</f>
        <v>2023</v>
      </c>
      <c r="C20" s="2">
        <v>1000</v>
      </c>
      <c r="D20" s="2">
        <f>المخزون!E19</f>
        <v>22000</v>
      </c>
      <c r="E20" s="2">
        <f t="shared" si="0"/>
        <v>23000</v>
      </c>
      <c r="F20" s="1">
        <f>المخزون!H19</f>
        <v>24000</v>
      </c>
      <c r="G20" s="4">
        <v>0.9</v>
      </c>
      <c r="H20" s="2">
        <f t="shared" si="1"/>
        <v>21600</v>
      </c>
      <c r="I20" s="2">
        <v>850</v>
      </c>
      <c r="J20">
        <f t="shared" si="2"/>
        <v>22450</v>
      </c>
      <c r="K20" s="3">
        <f t="shared" si="3"/>
        <v>2250</v>
      </c>
      <c r="M20" t="str">
        <f>المخزون!A19</f>
        <v>KIA EV5</v>
      </c>
      <c r="N20">
        <f>المخزون!F19</f>
        <v>2023</v>
      </c>
      <c r="O20" s="2">
        <v>1000</v>
      </c>
      <c r="P20" s="2">
        <f>المخزون!E19</f>
        <v>22000</v>
      </c>
      <c r="Q20" s="2">
        <f t="shared" si="4"/>
        <v>23000</v>
      </c>
      <c r="R20" s="1">
        <f>المخزون!H19</f>
        <v>24000</v>
      </c>
      <c r="S20" s="4">
        <v>0.85</v>
      </c>
      <c r="T20" s="2">
        <f t="shared" si="5"/>
        <v>20400</v>
      </c>
      <c r="U20" s="2">
        <v>850</v>
      </c>
      <c r="V20">
        <f t="shared" si="6"/>
        <v>21250</v>
      </c>
      <c r="W20" s="3">
        <f t="shared" si="7"/>
        <v>3450</v>
      </c>
      <c r="X20" s="22"/>
      <c r="Y20" s="22"/>
      <c r="Z20" s="22"/>
      <c r="AA20" s="22"/>
      <c r="AB20" s="22"/>
      <c r="AC20" s="22"/>
    </row>
    <row r="21" spans="1:29" x14ac:dyDescent="0.25">
      <c r="A21" t="str">
        <f>المخزون!A20</f>
        <v>QUIN BYD EV</v>
      </c>
      <c r="B21">
        <f>المخزون!F20</f>
        <v>2023</v>
      </c>
      <c r="C21" s="2">
        <v>1000</v>
      </c>
      <c r="D21" s="2">
        <f>المخزون!E20</f>
        <v>13000</v>
      </c>
      <c r="E21" s="2">
        <f t="shared" si="0"/>
        <v>14000</v>
      </c>
      <c r="F21" s="1">
        <f>المخزون!H20</f>
        <v>14500</v>
      </c>
      <c r="G21" s="4">
        <v>0.9</v>
      </c>
      <c r="H21" s="2">
        <f t="shared" si="1"/>
        <v>13050</v>
      </c>
      <c r="I21" s="2">
        <v>850</v>
      </c>
      <c r="J21">
        <f t="shared" si="2"/>
        <v>13900</v>
      </c>
      <c r="K21" s="3">
        <f t="shared" si="3"/>
        <v>1800</v>
      </c>
      <c r="M21" t="str">
        <f>المخزون!A20</f>
        <v>QUIN BYD EV</v>
      </c>
      <c r="N21">
        <f>المخزون!F20</f>
        <v>2023</v>
      </c>
      <c r="O21" s="2">
        <v>1000</v>
      </c>
      <c r="P21" s="2">
        <f>المخزون!E20</f>
        <v>13000</v>
      </c>
      <c r="Q21" s="2">
        <f t="shared" si="4"/>
        <v>14000</v>
      </c>
      <c r="R21" s="1">
        <f>المخزون!H20</f>
        <v>14500</v>
      </c>
      <c r="S21" s="4">
        <v>0.85</v>
      </c>
      <c r="T21" s="2">
        <f t="shared" si="5"/>
        <v>12325</v>
      </c>
      <c r="U21" s="2">
        <v>850</v>
      </c>
      <c r="V21">
        <f t="shared" si="6"/>
        <v>13175</v>
      </c>
      <c r="W21" s="3">
        <f t="shared" si="7"/>
        <v>2525</v>
      </c>
      <c r="X21" s="22"/>
      <c r="Y21" s="22"/>
      <c r="Z21" s="22"/>
      <c r="AA21" s="22"/>
      <c r="AB21" s="22"/>
      <c r="AC21" s="22"/>
    </row>
    <row r="22" spans="1:29" x14ac:dyDescent="0.25">
      <c r="A22" t="str">
        <f>المخزون!A21</f>
        <v>BYD E2 20 305</v>
      </c>
      <c r="B22">
        <f>المخزون!F21</f>
        <v>2020</v>
      </c>
      <c r="C22" s="2">
        <v>1000</v>
      </c>
      <c r="D22" s="2">
        <f>المخزون!E21</f>
        <v>11300</v>
      </c>
      <c r="E22" s="2">
        <f t="shared" si="0"/>
        <v>12300</v>
      </c>
      <c r="F22" s="1">
        <f>المخزون!H21</f>
        <v>12000</v>
      </c>
      <c r="G22" s="4">
        <v>0.9</v>
      </c>
      <c r="H22" s="2">
        <f t="shared" si="1"/>
        <v>10800</v>
      </c>
      <c r="I22" s="2">
        <v>850</v>
      </c>
      <c r="J22">
        <f t="shared" si="2"/>
        <v>11650</v>
      </c>
      <c r="K22" s="3">
        <f t="shared" si="3"/>
        <v>2350</v>
      </c>
      <c r="M22" t="str">
        <f>المخزون!A21</f>
        <v>BYD E2 20 305</v>
      </c>
      <c r="N22">
        <f>المخزون!F21</f>
        <v>2020</v>
      </c>
      <c r="O22" s="2">
        <v>1000</v>
      </c>
      <c r="P22" s="2">
        <f>المخزون!E21</f>
        <v>11300</v>
      </c>
      <c r="Q22" s="2">
        <f t="shared" si="4"/>
        <v>12300</v>
      </c>
      <c r="R22" s="1">
        <f>المخزون!H21</f>
        <v>12000</v>
      </c>
      <c r="S22" s="4">
        <v>0.85</v>
      </c>
      <c r="T22" s="2">
        <f t="shared" si="5"/>
        <v>10200</v>
      </c>
      <c r="U22" s="2">
        <v>850</v>
      </c>
      <c r="V22">
        <f t="shared" si="6"/>
        <v>11050</v>
      </c>
      <c r="W22" s="3">
        <f t="shared" si="7"/>
        <v>2950</v>
      </c>
      <c r="X22" s="22"/>
      <c r="Y22" s="22"/>
      <c r="Z22" s="22"/>
      <c r="AA22" s="22"/>
      <c r="AB22" s="22"/>
      <c r="AC22" s="22"/>
    </row>
    <row r="23" spans="1:29" x14ac:dyDescent="0.25">
      <c r="A23" t="str">
        <f>المخزون!A22</f>
        <v xml:space="preserve">BYD QIN + EV </v>
      </c>
      <c r="B23">
        <f>المخزون!F22</f>
        <v>2020</v>
      </c>
      <c r="C23" s="2">
        <v>1000</v>
      </c>
      <c r="D23" s="2">
        <f>المخزون!E22</f>
        <v>10350</v>
      </c>
      <c r="E23" s="2">
        <f t="shared" si="0"/>
        <v>11350</v>
      </c>
      <c r="F23" s="1">
        <f>المخزون!H22</f>
        <v>12500</v>
      </c>
      <c r="G23" s="4">
        <v>0.9</v>
      </c>
      <c r="H23" s="2">
        <f t="shared" si="1"/>
        <v>11250</v>
      </c>
      <c r="I23" s="2">
        <v>850</v>
      </c>
      <c r="J23">
        <f t="shared" si="2"/>
        <v>12100</v>
      </c>
      <c r="K23" s="3">
        <f t="shared" si="3"/>
        <v>950</v>
      </c>
      <c r="M23" t="str">
        <f>المخزون!A22</f>
        <v xml:space="preserve">BYD QIN + EV </v>
      </c>
      <c r="N23">
        <f>المخزون!F22</f>
        <v>2020</v>
      </c>
      <c r="O23" s="2">
        <v>1000</v>
      </c>
      <c r="P23" s="2">
        <f>المخزون!E22</f>
        <v>10350</v>
      </c>
      <c r="Q23" s="2">
        <f t="shared" si="4"/>
        <v>11350</v>
      </c>
      <c r="R23" s="1">
        <f>المخزون!H22</f>
        <v>12500</v>
      </c>
      <c r="S23" s="4">
        <v>0.85</v>
      </c>
      <c r="T23" s="2">
        <f t="shared" si="5"/>
        <v>10625</v>
      </c>
      <c r="U23" s="2">
        <v>850</v>
      </c>
      <c r="V23">
        <f t="shared" si="6"/>
        <v>11475</v>
      </c>
      <c r="W23" s="3">
        <f t="shared" si="7"/>
        <v>1575</v>
      </c>
      <c r="X23" s="22"/>
      <c r="Y23" s="22"/>
      <c r="Z23" s="22"/>
      <c r="AA23" s="22"/>
      <c r="AB23" s="22"/>
      <c r="AC23" s="22"/>
    </row>
    <row r="24" spans="1:29" x14ac:dyDescent="0.25">
      <c r="A24" t="str">
        <f>المخزون!A23</f>
        <v>HONGQUI EMQ5</v>
      </c>
      <c r="B24">
        <f>المخزون!F23</f>
        <v>2022</v>
      </c>
      <c r="C24" s="2">
        <v>1000</v>
      </c>
      <c r="D24" s="2">
        <f>المخزون!E23</f>
        <v>14250</v>
      </c>
      <c r="E24" s="2">
        <f t="shared" si="0"/>
        <v>15250</v>
      </c>
      <c r="F24" s="1">
        <f>المخزون!H23</f>
        <v>16000</v>
      </c>
      <c r="G24" s="4">
        <v>0.9</v>
      </c>
      <c r="H24" s="2">
        <f t="shared" si="1"/>
        <v>14400</v>
      </c>
      <c r="I24" s="2">
        <v>850</v>
      </c>
      <c r="J24">
        <f t="shared" si="2"/>
        <v>15250</v>
      </c>
      <c r="K24" s="3">
        <f t="shared" si="3"/>
        <v>1700</v>
      </c>
      <c r="M24" t="str">
        <f>المخزون!A23</f>
        <v>HONGQUI EMQ5</v>
      </c>
      <c r="N24">
        <f>المخزون!F23</f>
        <v>2022</v>
      </c>
      <c r="O24" s="2">
        <v>1000</v>
      </c>
      <c r="P24" s="2">
        <f>المخزون!E23</f>
        <v>14250</v>
      </c>
      <c r="Q24" s="2">
        <f t="shared" si="4"/>
        <v>15250</v>
      </c>
      <c r="R24" s="1">
        <f>المخزون!H23</f>
        <v>16000</v>
      </c>
      <c r="S24" s="4">
        <v>0.85</v>
      </c>
      <c r="T24" s="2">
        <f t="shared" si="5"/>
        <v>13600</v>
      </c>
      <c r="U24" s="2">
        <v>850</v>
      </c>
      <c r="V24">
        <f t="shared" si="6"/>
        <v>14450</v>
      </c>
      <c r="W24" s="3">
        <f t="shared" si="7"/>
        <v>2500</v>
      </c>
      <c r="X24" s="22"/>
      <c r="Y24" s="22"/>
      <c r="Z24" s="22"/>
      <c r="AA24" s="22"/>
      <c r="AB24" s="22"/>
      <c r="AC24" s="22"/>
    </row>
    <row r="25" spans="1:29" x14ac:dyDescent="0.25">
      <c r="A25" t="str">
        <f>المخزون!A24</f>
        <v>LEAP T03</v>
      </c>
      <c r="B25">
        <f>المخزون!F24</f>
        <v>2024</v>
      </c>
      <c r="C25" s="2">
        <v>1000</v>
      </c>
      <c r="D25" s="2">
        <f>المخزون!E24</f>
        <v>9500</v>
      </c>
      <c r="E25" s="2">
        <f t="shared" si="0"/>
        <v>10500</v>
      </c>
      <c r="F25" s="1">
        <f>المخزون!H24</f>
        <v>11000</v>
      </c>
      <c r="G25" s="4">
        <v>0.9</v>
      </c>
      <c r="H25" s="2">
        <f t="shared" si="1"/>
        <v>9900</v>
      </c>
      <c r="I25" s="2">
        <v>850</v>
      </c>
      <c r="J25">
        <f t="shared" si="2"/>
        <v>10750</v>
      </c>
      <c r="K25" s="3">
        <f t="shared" si="3"/>
        <v>1450</v>
      </c>
      <c r="M25" t="str">
        <f>المخزون!A24</f>
        <v>LEAP T03</v>
      </c>
      <c r="N25">
        <f>المخزون!F24</f>
        <v>2024</v>
      </c>
      <c r="O25" s="2">
        <v>1000</v>
      </c>
      <c r="P25" s="2">
        <f>المخزون!E24</f>
        <v>9500</v>
      </c>
      <c r="Q25" s="2">
        <f t="shared" si="4"/>
        <v>10500</v>
      </c>
      <c r="R25" s="1">
        <f>المخزون!H24</f>
        <v>11000</v>
      </c>
      <c r="S25" s="4">
        <v>0.85</v>
      </c>
      <c r="T25" s="2">
        <f t="shared" si="5"/>
        <v>9350</v>
      </c>
      <c r="U25" s="2">
        <v>850</v>
      </c>
      <c r="V25">
        <f t="shared" si="6"/>
        <v>10200</v>
      </c>
      <c r="W25" s="3">
        <f t="shared" si="7"/>
        <v>2000</v>
      </c>
      <c r="X25" s="22"/>
      <c r="Y25" s="22"/>
      <c r="Z25" s="22"/>
      <c r="AA25" s="22"/>
      <c r="AB25" s="22"/>
      <c r="AC25" s="22"/>
    </row>
    <row r="26" spans="1:29" x14ac:dyDescent="0.25">
      <c r="A26" t="str">
        <f>المخزون!A25</f>
        <v>FORTHING S60</v>
      </c>
      <c r="B26">
        <f>المخزون!F25</f>
        <v>2023</v>
      </c>
      <c r="C26" s="2">
        <v>1000</v>
      </c>
      <c r="D26" s="2">
        <f>المخزون!E25</f>
        <v>13200</v>
      </c>
      <c r="E26" s="2">
        <f t="shared" si="0"/>
        <v>14200</v>
      </c>
      <c r="F26" s="1">
        <f>المخزون!H25</f>
        <v>14500</v>
      </c>
      <c r="G26" s="4">
        <v>0.9</v>
      </c>
      <c r="H26" s="2">
        <f t="shared" si="1"/>
        <v>13050</v>
      </c>
      <c r="I26" s="2">
        <v>850</v>
      </c>
      <c r="J26">
        <f t="shared" si="2"/>
        <v>13900</v>
      </c>
      <c r="K26" s="3">
        <f t="shared" si="3"/>
        <v>2000</v>
      </c>
      <c r="M26" t="str">
        <f>المخزون!A25</f>
        <v>FORTHING S60</v>
      </c>
      <c r="N26">
        <f>المخزون!F25</f>
        <v>2023</v>
      </c>
      <c r="O26" s="2">
        <v>1000</v>
      </c>
      <c r="P26" s="2">
        <f>المخزون!E25</f>
        <v>13200</v>
      </c>
      <c r="Q26" s="2">
        <f t="shared" si="4"/>
        <v>14200</v>
      </c>
      <c r="R26" s="1">
        <f>المخزون!H25</f>
        <v>14500</v>
      </c>
      <c r="S26" s="4">
        <v>0.85</v>
      </c>
      <c r="T26" s="2">
        <f t="shared" si="5"/>
        <v>12325</v>
      </c>
      <c r="U26" s="2">
        <v>850</v>
      </c>
      <c r="V26">
        <f t="shared" si="6"/>
        <v>13175</v>
      </c>
      <c r="W26" s="3">
        <f t="shared" si="7"/>
        <v>2725</v>
      </c>
    </row>
    <row r="27" spans="1:29" x14ac:dyDescent="0.25">
      <c r="A27" t="str">
        <f>المخزون!A26</f>
        <v xml:space="preserve">NANO </v>
      </c>
      <c r="B27">
        <f>المخزون!F26</f>
        <v>2022</v>
      </c>
      <c r="C27" s="2">
        <v>1000</v>
      </c>
      <c r="D27" s="2">
        <f>المخزون!E26</f>
        <v>8700</v>
      </c>
      <c r="E27" s="2">
        <f t="shared" si="0"/>
        <v>9700</v>
      </c>
      <c r="F27" s="1">
        <f>المخزون!H26</f>
        <v>10000</v>
      </c>
      <c r="G27" s="4">
        <v>0.9</v>
      </c>
      <c r="H27" s="2">
        <f t="shared" si="1"/>
        <v>9000</v>
      </c>
      <c r="I27" s="2">
        <v>850</v>
      </c>
      <c r="J27">
        <f t="shared" si="2"/>
        <v>9850</v>
      </c>
      <c r="K27" s="3">
        <f t="shared" si="3"/>
        <v>1550</v>
      </c>
      <c r="M27" t="str">
        <f>المخزون!A26</f>
        <v xml:space="preserve">NANO </v>
      </c>
      <c r="N27">
        <f>المخزون!F26</f>
        <v>2022</v>
      </c>
      <c r="O27" s="2">
        <v>1000</v>
      </c>
      <c r="P27" s="2">
        <f>المخزون!E26</f>
        <v>8700</v>
      </c>
      <c r="Q27" s="2">
        <f t="shared" si="4"/>
        <v>9700</v>
      </c>
      <c r="R27" s="1">
        <f>المخزون!H26</f>
        <v>10000</v>
      </c>
      <c r="S27" s="4">
        <v>0.85</v>
      </c>
      <c r="T27" s="2">
        <f t="shared" si="5"/>
        <v>8500</v>
      </c>
      <c r="U27" s="2">
        <v>850</v>
      </c>
      <c r="V27">
        <f t="shared" si="6"/>
        <v>9350</v>
      </c>
      <c r="W27" s="3">
        <f t="shared" si="7"/>
        <v>2050</v>
      </c>
    </row>
    <row r="28" spans="1:29" x14ac:dyDescent="0.25">
      <c r="A28" t="str">
        <f>المخزون!A27</f>
        <v>LEAP T03</v>
      </c>
      <c r="B28">
        <f>المخزون!F27</f>
        <v>2022</v>
      </c>
      <c r="C28" s="2">
        <v>1000</v>
      </c>
      <c r="D28" s="2">
        <f>المخزون!E27</f>
        <v>7700</v>
      </c>
      <c r="E28" s="2">
        <f t="shared" si="0"/>
        <v>8700</v>
      </c>
      <c r="F28" s="1">
        <f>المخزون!H27</f>
        <v>0</v>
      </c>
      <c r="G28" s="4">
        <v>0.9</v>
      </c>
      <c r="H28" s="2">
        <f t="shared" si="1"/>
        <v>0</v>
      </c>
      <c r="I28" s="2">
        <v>850</v>
      </c>
      <c r="J28">
        <f t="shared" si="2"/>
        <v>850</v>
      </c>
      <c r="K28" s="3">
        <f t="shared" si="3"/>
        <v>9550</v>
      </c>
      <c r="M28" t="str">
        <f>المخزون!A27</f>
        <v>LEAP T03</v>
      </c>
      <c r="N28">
        <f>المخزون!F27</f>
        <v>2022</v>
      </c>
      <c r="O28" s="2">
        <v>1000</v>
      </c>
      <c r="P28" s="2">
        <f>المخزون!E27</f>
        <v>7700</v>
      </c>
      <c r="Q28" s="2">
        <f t="shared" si="4"/>
        <v>8700</v>
      </c>
      <c r="R28" s="1">
        <f>المخزون!H27</f>
        <v>0</v>
      </c>
      <c r="S28" s="4">
        <v>0.85</v>
      </c>
      <c r="T28" s="2">
        <f t="shared" si="5"/>
        <v>0</v>
      </c>
      <c r="U28" s="2">
        <v>850</v>
      </c>
      <c r="V28">
        <f t="shared" si="6"/>
        <v>850</v>
      </c>
      <c r="W28" s="3">
        <f t="shared" si="7"/>
        <v>9550</v>
      </c>
    </row>
    <row r="29" spans="1:29" x14ac:dyDescent="0.25">
      <c r="A29" t="str">
        <f>المخزون!A28</f>
        <v>Nissan Sylphi</v>
      </c>
      <c r="B29">
        <f>المخزون!F28</f>
        <v>2019</v>
      </c>
      <c r="C29" s="2">
        <v>1000</v>
      </c>
      <c r="D29" s="2">
        <f>المخزون!E28</f>
        <v>8700</v>
      </c>
      <c r="E29" s="2">
        <f t="shared" si="0"/>
        <v>9700</v>
      </c>
      <c r="F29" s="1">
        <f>المخزون!H28</f>
        <v>12000</v>
      </c>
      <c r="G29" s="4">
        <v>0.9</v>
      </c>
      <c r="H29" s="2">
        <f t="shared" si="1"/>
        <v>10800</v>
      </c>
      <c r="I29" s="2">
        <v>850</v>
      </c>
      <c r="J29">
        <f t="shared" si="2"/>
        <v>11650</v>
      </c>
      <c r="K29" s="3">
        <f t="shared" si="3"/>
        <v>-250</v>
      </c>
      <c r="M29" t="str">
        <f>المخزون!A28</f>
        <v>Nissan Sylphi</v>
      </c>
      <c r="N29">
        <f>المخزون!F28</f>
        <v>2019</v>
      </c>
      <c r="O29" s="2">
        <v>1000</v>
      </c>
      <c r="P29" s="2">
        <f>المخزون!E28</f>
        <v>8700</v>
      </c>
      <c r="Q29" s="2">
        <f t="shared" si="4"/>
        <v>9700</v>
      </c>
      <c r="R29" s="1">
        <f>المخزون!H28</f>
        <v>12000</v>
      </c>
      <c r="S29" s="4">
        <v>0.85</v>
      </c>
      <c r="T29" s="2">
        <f t="shared" si="5"/>
        <v>10200</v>
      </c>
      <c r="U29" s="2">
        <v>850</v>
      </c>
      <c r="V29">
        <f t="shared" si="6"/>
        <v>11050</v>
      </c>
      <c r="W29" s="3">
        <f t="shared" si="7"/>
        <v>350</v>
      </c>
    </row>
    <row r="30" spans="1:29" x14ac:dyDescent="0.25">
      <c r="A30" t="str">
        <f>المخزون!A29</f>
        <v>Dong Feng Mage</v>
      </c>
      <c r="B30">
        <f>المخزون!F29</f>
        <v>2026</v>
      </c>
      <c r="C30" s="2">
        <v>1000</v>
      </c>
      <c r="D30" s="2">
        <f>المخزون!E29</f>
        <v>0</v>
      </c>
      <c r="E30" s="2">
        <f t="shared" si="0"/>
        <v>1000</v>
      </c>
      <c r="F30" s="1">
        <f>المخزون!H29</f>
        <v>0</v>
      </c>
      <c r="G30" s="4">
        <v>0.9</v>
      </c>
      <c r="H30" s="2">
        <f t="shared" si="1"/>
        <v>0</v>
      </c>
      <c r="I30" s="2">
        <v>850</v>
      </c>
      <c r="J30">
        <f t="shared" si="2"/>
        <v>850</v>
      </c>
      <c r="K30" s="3">
        <f t="shared" si="3"/>
        <v>1850</v>
      </c>
      <c r="M30" t="str">
        <f>المخزون!A29</f>
        <v>Dong Feng Mage</v>
      </c>
      <c r="N30">
        <f>المخزون!F29</f>
        <v>2026</v>
      </c>
      <c r="O30" s="2">
        <v>1000</v>
      </c>
      <c r="P30" s="2">
        <f>المخزون!E29</f>
        <v>0</v>
      </c>
      <c r="Q30" s="2">
        <f t="shared" si="4"/>
        <v>1000</v>
      </c>
      <c r="R30" s="1">
        <f>المخزون!H29</f>
        <v>0</v>
      </c>
      <c r="S30" s="4">
        <v>0.85</v>
      </c>
      <c r="T30" s="2">
        <f t="shared" si="5"/>
        <v>0</v>
      </c>
      <c r="U30" s="2">
        <v>850</v>
      </c>
      <c r="V30">
        <f t="shared" si="6"/>
        <v>850</v>
      </c>
      <c r="W30" s="3">
        <f t="shared" si="7"/>
        <v>1850</v>
      </c>
    </row>
    <row r="31" spans="1:29" x14ac:dyDescent="0.25">
      <c r="A31" t="str">
        <f>المخزون!A30</f>
        <v>BYD SONG plus</v>
      </c>
      <c r="B31">
        <f>المخزون!F30</f>
        <v>2024</v>
      </c>
      <c r="C31" s="2">
        <v>1000</v>
      </c>
      <c r="D31" s="2">
        <f>المخزون!E30</f>
        <v>24250</v>
      </c>
      <c r="E31" s="2">
        <f t="shared" si="0"/>
        <v>25250</v>
      </c>
      <c r="F31" s="1">
        <f>المخزون!H30</f>
        <v>0</v>
      </c>
      <c r="G31" s="4">
        <v>0.9</v>
      </c>
      <c r="H31" s="2">
        <f t="shared" si="1"/>
        <v>0</v>
      </c>
      <c r="I31" s="2">
        <v>850</v>
      </c>
      <c r="J31">
        <f t="shared" si="2"/>
        <v>850</v>
      </c>
      <c r="K31" s="3">
        <f t="shared" si="3"/>
        <v>26100</v>
      </c>
      <c r="M31" t="str">
        <f>المخزون!A30</f>
        <v>BYD SONG plus</v>
      </c>
      <c r="N31">
        <f>المخزون!F30</f>
        <v>2024</v>
      </c>
      <c r="O31" s="2">
        <v>1000</v>
      </c>
      <c r="P31" s="2">
        <f>المخزون!E30</f>
        <v>24250</v>
      </c>
      <c r="Q31" s="2">
        <f t="shared" si="4"/>
        <v>25250</v>
      </c>
      <c r="R31" s="1">
        <f>المخزون!H30</f>
        <v>0</v>
      </c>
      <c r="S31" s="4">
        <v>0.85</v>
      </c>
      <c r="T31" s="2">
        <f t="shared" si="5"/>
        <v>0</v>
      </c>
      <c r="U31" s="2">
        <v>850</v>
      </c>
      <c r="V31">
        <f t="shared" si="6"/>
        <v>850</v>
      </c>
      <c r="W31" s="3">
        <f t="shared" si="7"/>
        <v>26100</v>
      </c>
    </row>
    <row r="32" spans="1:29" x14ac:dyDescent="0.25">
      <c r="A32" t="str">
        <f>المخزون!A31</f>
        <v>Toyota BZ4</v>
      </c>
      <c r="B32">
        <f>المخزون!F31</f>
        <v>2022</v>
      </c>
      <c r="C32" s="2">
        <v>1000</v>
      </c>
      <c r="D32" s="2">
        <f>المخزون!E31</f>
        <v>22000</v>
      </c>
      <c r="E32" s="2">
        <f t="shared" si="0"/>
        <v>23000</v>
      </c>
      <c r="F32" s="1">
        <f>المخزون!H31</f>
        <v>0</v>
      </c>
      <c r="G32" s="4">
        <v>0.9</v>
      </c>
      <c r="H32" s="2">
        <f t="shared" si="1"/>
        <v>0</v>
      </c>
      <c r="I32" s="2">
        <v>850</v>
      </c>
      <c r="J32">
        <f t="shared" si="2"/>
        <v>850</v>
      </c>
      <c r="K32" s="3">
        <f t="shared" si="3"/>
        <v>23850</v>
      </c>
      <c r="M32" t="str">
        <f>المخزون!A31</f>
        <v>Toyota BZ4</v>
      </c>
      <c r="N32">
        <f>المخزون!F31</f>
        <v>2022</v>
      </c>
      <c r="O32" s="2">
        <v>1000</v>
      </c>
      <c r="P32" s="2">
        <f>المخزون!E31</f>
        <v>22000</v>
      </c>
      <c r="Q32" s="2">
        <f t="shared" si="4"/>
        <v>23000</v>
      </c>
      <c r="R32" s="1">
        <f>المخزون!H31</f>
        <v>0</v>
      </c>
      <c r="S32" s="4">
        <v>0.85</v>
      </c>
      <c r="T32" s="2">
        <f t="shared" si="5"/>
        <v>0</v>
      </c>
      <c r="U32" s="2">
        <v>850</v>
      </c>
      <c r="V32">
        <f t="shared" si="6"/>
        <v>850</v>
      </c>
      <c r="W32" s="3">
        <f t="shared" si="7"/>
        <v>23850</v>
      </c>
    </row>
    <row r="33" spans="1:23" x14ac:dyDescent="0.25">
      <c r="A33" t="str">
        <f>المخزون!A32</f>
        <v>Changan Eado</v>
      </c>
      <c r="B33">
        <f>المخزون!F32</f>
        <v>2026</v>
      </c>
      <c r="C33" s="2">
        <v>1000</v>
      </c>
      <c r="D33" s="2">
        <f>المخزون!E32</f>
        <v>17500</v>
      </c>
      <c r="E33" s="2">
        <f t="shared" si="0"/>
        <v>18500</v>
      </c>
      <c r="F33" s="1">
        <f>المخزون!H32</f>
        <v>19500</v>
      </c>
      <c r="G33" s="4">
        <v>0.9</v>
      </c>
      <c r="H33" s="2">
        <f t="shared" si="1"/>
        <v>17550</v>
      </c>
      <c r="I33" s="2">
        <v>850</v>
      </c>
      <c r="J33">
        <f t="shared" si="2"/>
        <v>18400</v>
      </c>
      <c r="K33" s="3">
        <f t="shared" si="3"/>
        <v>1800</v>
      </c>
      <c r="M33" t="str">
        <f>المخزون!A32</f>
        <v>Changan Eado</v>
      </c>
      <c r="N33">
        <f>المخزون!F32</f>
        <v>2026</v>
      </c>
      <c r="O33" s="2">
        <v>1000</v>
      </c>
      <c r="P33" s="2">
        <f>المخزون!E32</f>
        <v>17500</v>
      </c>
      <c r="Q33" s="2">
        <f t="shared" si="4"/>
        <v>18500</v>
      </c>
      <c r="R33" s="1">
        <f>المخزون!H32</f>
        <v>19500</v>
      </c>
      <c r="S33" s="4">
        <v>0.85</v>
      </c>
      <c r="T33" s="2">
        <f t="shared" si="5"/>
        <v>16575</v>
      </c>
      <c r="U33" s="2">
        <v>850</v>
      </c>
      <c r="V33">
        <f t="shared" si="6"/>
        <v>17425</v>
      </c>
      <c r="W33" s="3">
        <f t="shared" si="7"/>
        <v>2775</v>
      </c>
    </row>
    <row r="34" spans="1:23" x14ac:dyDescent="0.25">
      <c r="A34" t="str">
        <f>المخزون!A33</f>
        <v>Changan Eado</v>
      </c>
      <c r="B34">
        <f>المخزون!F33</f>
        <v>2026</v>
      </c>
      <c r="C34" s="2">
        <v>1000</v>
      </c>
      <c r="D34" s="2">
        <f>المخزون!E33</f>
        <v>16500</v>
      </c>
      <c r="E34" s="2">
        <f t="shared" si="0"/>
        <v>17500</v>
      </c>
      <c r="F34" s="1">
        <f>المخزون!H33</f>
        <v>18500</v>
      </c>
      <c r="G34" s="4">
        <v>0.9</v>
      </c>
      <c r="H34" s="2">
        <f t="shared" si="1"/>
        <v>16650</v>
      </c>
      <c r="I34" s="2">
        <v>850</v>
      </c>
      <c r="J34">
        <f t="shared" si="2"/>
        <v>17500</v>
      </c>
      <c r="K34" s="3">
        <f t="shared" si="3"/>
        <v>1700</v>
      </c>
      <c r="M34" t="str">
        <f>المخزون!A33</f>
        <v>Changan Eado</v>
      </c>
      <c r="N34">
        <f>المخزون!F33</f>
        <v>2026</v>
      </c>
      <c r="O34" s="2">
        <v>1000</v>
      </c>
      <c r="P34" s="2">
        <f>المخزون!E33</f>
        <v>16500</v>
      </c>
      <c r="Q34" s="2">
        <f t="shared" si="4"/>
        <v>17500</v>
      </c>
      <c r="R34" s="1">
        <f>المخزون!H33</f>
        <v>18500</v>
      </c>
      <c r="S34" s="4">
        <v>0.85</v>
      </c>
      <c r="T34" s="2">
        <f t="shared" si="5"/>
        <v>15725</v>
      </c>
      <c r="U34" s="2">
        <v>850</v>
      </c>
      <c r="V34">
        <f t="shared" si="6"/>
        <v>16575</v>
      </c>
      <c r="W34" s="3">
        <f t="shared" si="7"/>
        <v>2625</v>
      </c>
    </row>
    <row r="35" spans="1:23" x14ac:dyDescent="0.25">
      <c r="A35" t="str">
        <f>المخزون!A34</f>
        <v>Changan Eado</v>
      </c>
      <c r="B35">
        <f>المخزون!F34</f>
        <v>2023</v>
      </c>
      <c r="C35" s="2">
        <v>1000</v>
      </c>
      <c r="D35" s="2">
        <f>المخزون!E34</f>
        <v>14500</v>
      </c>
      <c r="E35" s="2">
        <f t="shared" si="0"/>
        <v>15500</v>
      </c>
      <c r="F35" s="1">
        <f>المخزون!H34</f>
        <v>16500</v>
      </c>
      <c r="G35" s="4">
        <v>0.9</v>
      </c>
      <c r="H35" s="2">
        <f t="shared" si="1"/>
        <v>14850</v>
      </c>
      <c r="I35" s="2">
        <v>850</v>
      </c>
      <c r="J35">
        <f t="shared" si="2"/>
        <v>15700</v>
      </c>
      <c r="K35" s="3">
        <f t="shared" si="3"/>
        <v>1500</v>
      </c>
      <c r="M35" t="str">
        <f>المخزون!A34</f>
        <v>Changan Eado</v>
      </c>
      <c r="N35">
        <f>المخزون!F34</f>
        <v>2023</v>
      </c>
      <c r="O35" s="2">
        <v>1000</v>
      </c>
      <c r="P35" s="2">
        <f>المخزون!E34</f>
        <v>14500</v>
      </c>
      <c r="Q35" s="2">
        <f t="shared" si="4"/>
        <v>15500</v>
      </c>
      <c r="R35" s="1">
        <f>المخزون!H34</f>
        <v>16500</v>
      </c>
      <c r="S35" s="4">
        <v>0.85</v>
      </c>
      <c r="T35" s="2">
        <f t="shared" si="5"/>
        <v>14025</v>
      </c>
      <c r="U35" s="2">
        <v>850</v>
      </c>
      <c r="V35">
        <f t="shared" si="6"/>
        <v>14875</v>
      </c>
      <c r="W35" s="3">
        <f t="shared" si="7"/>
        <v>2325</v>
      </c>
    </row>
    <row r="36" spans="1:23" x14ac:dyDescent="0.25">
      <c r="A36" t="str">
        <f>المخزون!A35</f>
        <v>Changan Eado</v>
      </c>
      <c r="B36">
        <f>المخزون!F35</f>
        <v>2022</v>
      </c>
      <c r="C36" s="2">
        <v>1000</v>
      </c>
      <c r="D36" s="2">
        <f>المخزون!E35</f>
        <v>13000</v>
      </c>
      <c r="E36" s="2">
        <f t="shared" si="0"/>
        <v>14000</v>
      </c>
      <c r="F36" s="1">
        <f>المخزون!H35</f>
        <v>15000</v>
      </c>
      <c r="G36" s="4">
        <v>0.9</v>
      </c>
      <c r="H36" s="2">
        <f t="shared" si="1"/>
        <v>13500</v>
      </c>
      <c r="I36" s="2">
        <v>850</v>
      </c>
      <c r="J36">
        <f t="shared" si="2"/>
        <v>14350</v>
      </c>
      <c r="K36" s="3">
        <f t="shared" si="3"/>
        <v>1350</v>
      </c>
      <c r="M36" t="str">
        <f>المخزون!A35</f>
        <v>Changan Eado</v>
      </c>
      <c r="N36">
        <f>المخزون!F35</f>
        <v>2022</v>
      </c>
      <c r="O36" s="2">
        <v>1000</v>
      </c>
      <c r="P36" s="2">
        <f>المخزون!E35</f>
        <v>13000</v>
      </c>
      <c r="Q36" s="2">
        <f t="shared" si="4"/>
        <v>14000</v>
      </c>
      <c r="R36" s="1">
        <f>المخزون!H35</f>
        <v>15000</v>
      </c>
      <c r="S36" s="4">
        <v>0.85</v>
      </c>
      <c r="T36" s="2">
        <f t="shared" si="5"/>
        <v>12750</v>
      </c>
      <c r="U36" s="2">
        <v>850</v>
      </c>
      <c r="V36">
        <f t="shared" si="6"/>
        <v>13600</v>
      </c>
      <c r="W36" s="3">
        <f t="shared" si="7"/>
        <v>2100</v>
      </c>
    </row>
    <row r="37" spans="1:23" x14ac:dyDescent="0.25">
      <c r="A37" t="str">
        <f>المخزون!A36</f>
        <v>Song pro</v>
      </c>
      <c r="B37">
        <f>المخزون!F36</f>
        <v>2025</v>
      </c>
      <c r="C37" s="2">
        <v>1000</v>
      </c>
      <c r="D37" s="2">
        <f>المخزون!E36</f>
        <v>22000</v>
      </c>
      <c r="E37" s="2">
        <f t="shared" si="0"/>
        <v>23000</v>
      </c>
      <c r="F37" s="1">
        <f>المخزون!H36</f>
        <v>0</v>
      </c>
      <c r="G37" s="4">
        <v>0.9</v>
      </c>
      <c r="H37" s="2">
        <f t="shared" si="1"/>
        <v>0</v>
      </c>
      <c r="I37" s="2">
        <v>850</v>
      </c>
      <c r="J37">
        <f t="shared" si="2"/>
        <v>850</v>
      </c>
      <c r="K37" s="3">
        <f t="shared" si="3"/>
        <v>23850</v>
      </c>
      <c r="M37" t="str">
        <f>المخزون!A36</f>
        <v>Song pro</v>
      </c>
      <c r="N37">
        <f>المخزون!F36</f>
        <v>2025</v>
      </c>
      <c r="O37" s="2">
        <v>1000</v>
      </c>
      <c r="P37" s="2">
        <f>المخزون!E36</f>
        <v>22000</v>
      </c>
      <c r="Q37" s="2">
        <f t="shared" si="4"/>
        <v>23000</v>
      </c>
      <c r="R37" s="1">
        <f>المخزون!H36</f>
        <v>0</v>
      </c>
      <c r="S37" s="4">
        <v>0.85</v>
      </c>
      <c r="T37" s="2">
        <f t="shared" si="5"/>
        <v>0</v>
      </c>
      <c r="U37" s="2">
        <v>850</v>
      </c>
      <c r="V37">
        <f t="shared" si="6"/>
        <v>850</v>
      </c>
      <c r="W37" s="3">
        <f t="shared" si="7"/>
        <v>23850</v>
      </c>
    </row>
    <row r="38" spans="1:23" x14ac:dyDescent="0.25">
      <c r="A38" t="str">
        <f>المخزون!A37</f>
        <v>BYD QUIN L</v>
      </c>
      <c r="B38">
        <f>المخزون!F37</f>
        <v>2025</v>
      </c>
      <c r="C38" s="2">
        <v>1000</v>
      </c>
      <c r="D38" s="2">
        <f>المخزون!E37</f>
        <v>0</v>
      </c>
      <c r="E38" s="2">
        <f t="shared" si="0"/>
        <v>1000</v>
      </c>
      <c r="F38" s="1">
        <f>المخزون!H37</f>
        <v>0</v>
      </c>
      <c r="G38" s="4">
        <v>0.9</v>
      </c>
      <c r="H38" s="2">
        <f t="shared" si="1"/>
        <v>0</v>
      </c>
      <c r="I38" s="2">
        <v>850</v>
      </c>
      <c r="J38">
        <f t="shared" si="2"/>
        <v>850</v>
      </c>
      <c r="K38" s="3">
        <f t="shared" si="3"/>
        <v>1850</v>
      </c>
      <c r="M38" t="str">
        <f>المخزون!A37</f>
        <v>BYD QUIN L</v>
      </c>
      <c r="N38">
        <f>المخزون!F37</f>
        <v>2025</v>
      </c>
      <c r="O38" s="2">
        <v>1000</v>
      </c>
      <c r="P38" s="2">
        <f>المخزون!E37</f>
        <v>0</v>
      </c>
      <c r="Q38" s="2">
        <f t="shared" si="4"/>
        <v>1000</v>
      </c>
      <c r="R38" s="1">
        <f>المخزون!H37</f>
        <v>0</v>
      </c>
      <c r="S38" s="4">
        <v>0.85</v>
      </c>
      <c r="T38" s="2">
        <f t="shared" si="5"/>
        <v>0</v>
      </c>
      <c r="U38" s="2">
        <v>850</v>
      </c>
      <c r="V38">
        <f t="shared" si="6"/>
        <v>850</v>
      </c>
      <c r="W38" s="3">
        <f t="shared" si="7"/>
        <v>1850</v>
      </c>
    </row>
    <row r="39" spans="1:23" x14ac:dyDescent="0.25">
      <c r="A39">
        <f>المخزون!A38</f>
        <v>0</v>
      </c>
      <c r="B39">
        <f>المخزون!F38</f>
        <v>0</v>
      </c>
      <c r="C39" s="2">
        <v>1000</v>
      </c>
      <c r="D39" s="2">
        <f>المخزون!E38</f>
        <v>0</v>
      </c>
      <c r="E39" s="2">
        <f t="shared" si="0"/>
        <v>1000</v>
      </c>
      <c r="F39" s="1">
        <f>المخزون!H38</f>
        <v>0</v>
      </c>
      <c r="G39" s="4">
        <v>0.9</v>
      </c>
      <c r="H39" s="2">
        <f t="shared" si="1"/>
        <v>0</v>
      </c>
      <c r="I39" s="2">
        <v>850</v>
      </c>
      <c r="J39">
        <f t="shared" si="2"/>
        <v>850</v>
      </c>
      <c r="K39" s="3">
        <f t="shared" si="3"/>
        <v>1850</v>
      </c>
      <c r="M39">
        <f>المخزون!A38</f>
        <v>0</v>
      </c>
      <c r="N39">
        <f>المخزون!F38</f>
        <v>0</v>
      </c>
      <c r="O39" s="2">
        <v>1000</v>
      </c>
      <c r="P39" s="2">
        <f>المخزون!E38</f>
        <v>0</v>
      </c>
      <c r="Q39" s="2">
        <f t="shared" si="4"/>
        <v>1000</v>
      </c>
      <c r="R39" s="1">
        <f>المخزون!H38</f>
        <v>0</v>
      </c>
      <c r="S39" s="4">
        <v>0.85</v>
      </c>
      <c r="T39" s="2">
        <f t="shared" si="5"/>
        <v>0</v>
      </c>
      <c r="U39" s="2">
        <v>850</v>
      </c>
      <c r="V39">
        <f t="shared" si="6"/>
        <v>850</v>
      </c>
      <c r="W39" s="3">
        <f t="shared" si="7"/>
        <v>1850</v>
      </c>
    </row>
    <row r="40" spans="1:23" x14ac:dyDescent="0.25">
      <c r="A40">
        <f>المخزون!A39</f>
        <v>0</v>
      </c>
      <c r="B40">
        <f>المخزون!F39</f>
        <v>0</v>
      </c>
      <c r="C40" s="2">
        <v>1000</v>
      </c>
      <c r="D40" s="2">
        <f>المخزون!E39</f>
        <v>0</v>
      </c>
      <c r="E40" s="2">
        <f t="shared" si="0"/>
        <v>1000</v>
      </c>
      <c r="F40" s="1">
        <f>المخزون!H39</f>
        <v>0</v>
      </c>
      <c r="G40" s="4">
        <v>0.9</v>
      </c>
      <c r="H40" s="2">
        <f t="shared" si="1"/>
        <v>0</v>
      </c>
      <c r="I40" s="2">
        <v>850</v>
      </c>
      <c r="J40">
        <f t="shared" si="2"/>
        <v>850</v>
      </c>
      <c r="K40" s="3">
        <f t="shared" si="3"/>
        <v>1850</v>
      </c>
      <c r="M40">
        <f>المخزون!A39</f>
        <v>0</v>
      </c>
      <c r="N40">
        <f>المخزون!F39</f>
        <v>0</v>
      </c>
      <c r="O40" s="2">
        <v>1000</v>
      </c>
      <c r="P40" s="2">
        <f>المخزون!E39</f>
        <v>0</v>
      </c>
      <c r="Q40" s="2">
        <f t="shared" si="4"/>
        <v>1000</v>
      </c>
      <c r="R40" s="1">
        <f>المخزون!H39</f>
        <v>0</v>
      </c>
      <c r="S40" s="4">
        <v>0.85</v>
      </c>
      <c r="T40" s="2">
        <f t="shared" si="5"/>
        <v>0</v>
      </c>
      <c r="U40" s="2">
        <v>850</v>
      </c>
      <c r="V40">
        <f t="shared" si="6"/>
        <v>850</v>
      </c>
      <c r="W40" s="3">
        <f t="shared" si="7"/>
        <v>1850</v>
      </c>
    </row>
    <row r="41" spans="1:23" x14ac:dyDescent="0.25">
      <c r="A41">
        <f>المخزون!A40</f>
        <v>0</v>
      </c>
      <c r="B41">
        <f>المخزون!F40</f>
        <v>0</v>
      </c>
      <c r="C41" s="2">
        <v>1000</v>
      </c>
      <c r="D41" s="2">
        <f>المخزون!E40</f>
        <v>0</v>
      </c>
      <c r="E41" s="2">
        <f t="shared" si="0"/>
        <v>1000</v>
      </c>
      <c r="F41" s="1">
        <f>المخزون!H40</f>
        <v>0</v>
      </c>
      <c r="G41" s="4">
        <v>0.9</v>
      </c>
      <c r="H41" s="2">
        <f t="shared" si="1"/>
        <v>0</v>
      </c>
      <c r="I41" s="2">
        <v>850</v>
      </c>
      <c r="J41">
        <f t="shared" si="2"/>
        <v>850</v>
      </c>
      <c r="K41" s="3">
        <f t="shared" si="3"/>
        <v>1850</v>
      </c>
      <c r="M41">
        <f>المخزون!A40</f>
        <v>0</v>
      </c>
      <c r="N41">
        <f>المخزون!F30</f>
        <v>2024</v>
      </c>
      <c r="O41" s="2">
        <v>1000</v>
      </c>
      <c r="P41" s="2">
        <f>المخزون!E40</f>
        <v>0</v>
      </c>
      <c r="Q41" s="2">
        <f t="shared" si="4"/>
        <v>1000</v>
      </c>
      <c r="R41" s="1">
        <f>المخزون!H40</f>
        <v>0</v>
      </c>
      <c r="S41" s="4">
        <v>0.85</v>
      </c>
      <c r="T41" s="2">
        <f t="shared" si="5"/>
        <v>0</v>
      </c>
      <c r="U41" s="2">
        <v>850</v>
      </c>
      <c r="V41">
        <f t="shared" si="6"/>
        <v>850</v>
      </c>
      <c r="W41" s="3">
        <f t="shared" si="7"/>
        <v>1850</v>
      </c>
    </row>
    <row r="42" spans="1:23" x14ac:dyDescent="0.25">
      <c r="A42">
        <f>المخزون!A41</f>
        <v>0</v>
      </c>
      <c r="B42">
        <f>المخزون!F41</f>
        <v>0</v>
      </c>
      <c r="C42" s="2">
        <v>1000</v>
      </c>
      <c r="D42" s="2">
        <f>المخزون!E41</f>
        <v>0</v>
      </c>
      <c r="E42" s="2">
        <f t="shared" si="0"/>
        <v>1000</v>
      </c>
      <c r="F42" s="1">
        <f>المخزون!H41</f>
        <v>0</v>
      </c>
      <c r="G42" s="4">
        <v>0.9</v>
      </c>
      <c r="H42" s="2">
        <f t="shared" si="1"/>
        <v>0</v>
      </c>
      <c r="I42" s="2">
        <v>850</v>
      </c>
      <c r="J42">
        <f t="shared" si="2"/>
        <v>850</v>
      </c>
      <c r="K42" s="3">
        <f t="shared" si="3"/>
        <v>1850</v>
      </c>
      <c r="M42">
        <f>المخزون!A41</f>
        <v>0</v>
      </c>
      <c r="N42">
        <f>المخزون!F31</f>
        <v>2022</v>
      </c>
      <c r="O42" s="2">
        <v>1000</v>
      </c>
      <c r="P42" s="2">
        <f>المخزون!E41</f>
        <v>0</v>
      </c>
      <c r="Q42" s="2">
        <f t="shared" si="4"/>
        <v>1000</v>
      </c>
      <c r="R42" s="1">
        <f>المخزون!H41</f>
        <v>0</v>
      </c>
      <c r="S42" s="4">
        <v>0.85</v>
      </c>
      <c r="T42" s="2">
        <f t="shared" si="5"/>
        <v>0</v>
      </c>
      <c r="U42" s="2">
        <v>850</v>
      </c>
      <c r="V42">
        <f t="shared" si="6"/>
        <v>850</v>
      </c>
      <c r="W42" s="3">
        <f t="shared" si="7"/>
        <v>1850</v>
      </c>
    </row>
    <row r="43" spans="1:23" x14ac:dyDescent="0.25">
      <c r="A43">
        <f>المخزون!A42</f>
        <v>0</v>
      </c>
      <c r="B43">
        <f>المخزون!F42</f>
        <v>0</v>
      </c>
      <c r="C43" s="2">
        <v>1000</v>
      </c>
      <c r="D43" s="2">
        <f>المخزون!E42</f>
        <v>0</v>
      </c>
      <c r="E43" s="2">
        <f t="shared" si="0"/>
        <v>1000</v>
      </c>
      <c r="F43" s="1">
        <f>المخزون!H42</f>
        <v>0</v>
      </c>
      <c r="G43" s="4">
        <v>0.9</v>
      </c>
      <c r="H43" s="2">
        <f t="shared" ref="H43:H57" si="8">F43*G43</f>
        <v>0</v>
      </c>
      <c r="I43" s="2">
        <v>850</v>
      </c>
      <c r="J43">
        <f t="shared" si="2"/>
        <v>850</v>
      </c>
      <c r="K43" s="3">
        <f t="shared" si="3"/>
        <v>1850</v>
      </c>
      <c r="M43">
        <f>المخزون!A42</f>
        <v>0</v>
      </c>
      <c r="N43">
        <f>المخزون!F32</f>
        <v>2026</v>
      </c>
      <c r="O43" s="2">
        <v>1000</v>
      </c>
      <c r="P43" s="2">
        <f>المخزون!E42</f>
        <v>0</v>
      </c>
      <c r="Q43" s="2">
        <f t="shared" si="4"/>
        <v>1000</v>
      </c>
      <c r="R43" s="1">
        <f>المخزون!H42</f>
        <v>0</v>
      </c>
      <c r="S43" s="4">
        <v>0.85</v>
      </c>
      <c r="T43" s="2">
        <f t="shared" si="5"/>
        <v>0</v>
      </c>
      <c r="U43" s="2">
        <v>850</v>
      </c>
      <c r="V43">
        <f t="shared" si="6"/>
        <v>850</v>
      </c>
      <c r="W43" s="3">
        <f t="shared" si="7"/>
        <v>1850</v>
      </c>
    </row>
    <row r="44" spans="1:23" x14ac:dyDescent="0.25">
      <c r="A44">
        <f>المخزون!A43</f>
        <v>0</v>
      </c>
      <c r="B44">
        <f>المخزون!F43</f>
        <v>0</v>
      </c>
      <c r="C44" s="2">
        <v>1000</v>
      </c>
      <c r="D44" s="2">
        <f>المخزون!E43</f>
        <v>0</v>
      </c>
      <c r="E44" s="2">
        <f t="shared" si="0"/>
        <v>1000</v>
      </c>
      <c r="F44" s="1">
        <f>المخزون!H43</f>
        <v>0</v>
      </c>
      <c r="G44" s="4">
        <v>0.9</v>
      </c>
      <c r="H44" s="2">
        <f t="shared" si="8"/>
        <v>0</v>
      </c>
      <c r="I44" s="2">
        <v>850</v>
      </c>
      <c r="J44">
        <f t="shared" si="2"/>
        <v>850</v>
      </c>
      <c r="K44" s="3">
        <f t="shared" si="3"/>
        <v>1850</v>
      </c>
      <c r="M44">
        <f>المخزون!A43</f>
        <v>0</v>
      </c>
      <c r="N44">
        <f>المخزون!F33</f>
        <v>2026</v>
      </c>
      <c r="O44" s="2">
        <v>1000</v>
      </c>
      <c r="P44" s="2">
        <f>المخزون!E43</f>
        <v>0</v>
      </c>
      <c r="Q44" s="2">
        <f t="shared" si="4"/>
        <v>1000</v>
      </c>
      <c r="R44" s="1">
        <f>المخزون!H43</f>
        <v>0</v>
      </c>
      <c r="S44" s="4">
        <v>0.85</v>
      </c>
      <c r="T44" s="2">
        <f t="shared" si="5"/>
        <v>0</v>
      </c>
      <c r="U44" s="2">
        <v>850</v>
      </c>
      <c r="V44">
        <f t="shared" si="6"/>
        <v>850</v>
      </c>
      <c r="W44" s="3">
        <f t="shared" si="7"/>
        <v>1850</v>
      </c>
    </row>
    <row r="45" spans="1:23" x14ac:dyDescent="0.25">
      <c r="A45">
        <f>المخزون!A44</f>
        <v>0</v>
      </c>
      <c r="B45">
        <f>المخزون!F44</f>
        <v>0</v>
      </c>
      <c r="C45" s="2">
        <v>1000</v>
      </c>
      <c r="D45" s="2">
        <f>المخزون!E44</f>
        <v>0</v>
      </c>
      <c r="E45" s="2">
        <f t="shared" si="0"/>
        <v>1000</v>
      </c>
      <c r="F45" s="1">
        <f>المخزون!H44</f>
        <v>0</v>
      </c>
      <c r="G45" s="4">
        <v>0.9</v>
      </c>
      <c r="H45" s="2">
        <f t="shared" si="8"/>
        <v>0</v>
      </c>
      <c r="I45" s="2">
        <v>850</v>
      </c>
      <c r="J45">
        <f t="shared" si="2"/>
        <v>850</v>
      </c>
      <c r="K45" s="3">
        <f t="shared" si="3"/>
        <v>1850</v>
      </c>
      <c r="M45">
        <f>المخزون!A44</f>
        <v>0</v>
      </c>
      <c r="N45">
        <f>المخزون!F34</f>
        <v>2023</v>
      </c>
      <c r="O45" s="2">
        <v>1000</v>
      </c>
      <c r="P45" s="2">
        <f>المخزون!E44</f>
        <v>0</v>
      </c>
      <c r="Q45" s="2">
        <f t="shared" si="4"/>
        <v>1000</v>
      </c>
      <c r="R45" s="1">
        <f>المخزون!H44</f>
        <v>0</v>
      </c>
      <c r="S45" s="4">
        <v>0.85</v>
      </c>
      <c r="T45" s="2">
        <f t="shared" si="5"/>
        <v>0</v>
      </c>
      <c r="U45" s="2">
        <v>850</v>
      </c>
      <c r="V45">
        <f t="shared" si="6"/>
        <v>850</v>
      </c>
      <c r="W45" s="3">
        <f t="shared" si="7"/>
        <v>1850</v>
      </c>
    </row>
    <row r="46" spans="1:23" x14ac:dyDescent="0.25">
      <c r="A46">
        <f>المخزون!A45</f>
        <v>0</v>
      </c>
      <c r="B46">
        <f>المخزون!F45</f>
        <v>0</v>
      </c>
      <c r="C46" s="2">
        <v>1000</v>
      </c>
      <c r="D46" s="2">
        <f>المخزون!E45</f>
        <v>0</v>
      </c>
      <c r="E46" s="2">
        <f t="shared" si="0"/>
        <v>1000</v>
      </c>
      <c r="F46" s="1">
        <f>المخزون!H45</f>
        <v>0</v>
      </c>
      <c r="G46" s="4">
        <v>0.9</v>
      </c>
      <c r="H46" s="2">
        <f t="shared" si="8"/>
        <v>0</v>
      </c>
      <c r="I46" s="2">
        <v>850</v>
      </c>
      <c r="J46">
        <f t="shared" si="2"/>
        <v>850</v>
      </c>
      <c r="K46" s="3">
        <f t="shared" si="3"/>
        <v>1850</v>
      </c>
      <c r="M46">
        <f>المخزون!A45</f>
        <v>0</v>
      </c>
      <c r="N46">
        <f>المخزون!F35</f>
        <v>2022</v>
      </c>
      <c r="O46" s="2">
        <v>1000</v>
      </c>
      <c r="P46" s="2">
        <f>المخزون!E45</f>
        <v>0</v>
      </c>
      <c r="Q46" s="2">
        <f t="shared" si="4"/>
        <v>1000</v>
      </c>
      <c r="R46" s="1">
        <f>المخزون!H45</f>
        <v>0</v>
      </c>
      <c r="S46" s="4">
        <v>0.85</v>
      </c>
      <c r="T46" s="2">
        <f t="shared" si="5"/>
        <v>0</v>
      </c>
      <c r="U46" s="2">
        <v>850</v>
      </c>
      <c r="V46">
        <f t="shared" si="6"/>
        <v>850</v>
      </c>
      <c r="W46" s="3">
        <f t="shared" si="7"/>
        <v>1850</v>
      </c>
    </row>
    <row r="47" spans="1:23" x14ac:dyDescent="0.25">
      <c r="A47">
        <f>المخزون!A46</f>
        <v>0</v>
      </c>
      <c r="B47">
        <f>المخزون!F46</f>
        <v>0</v>
      </c>
      <c r="C47" s="2">
        <v>1000</v>
      </c>
      <c r="D47" s="2">
        <f>المخزون!E46</f>
        <v>0</v>
      </c>
      <c r="E47" s="2">
        <f t="shared" si="0"/>
        <v>1000</v>
      </c>
      <c r="F47" s="1">
        <f>المخزون!H46</f>
        <v>0</v>
      </c>
      <c r="G47" s="4">
        <v>0.9</v>
      </c>
      <c r="H47" s="2">
        <f t="shared" si="8"/>
        <v>0</v>
      </c>
      <c r="I47" s="2">
        <v>850</v>
      </c>
      <c r="J47">
        <f t="shared" si="2"/>
        <v>850</v>
      </c>
      <c r="K47" s="3">
        <f t="shared" si="3"/>
        <v>1850</v>
      </c>
      <c r="M47">
        <f>المخزون!A46</f>
        <v>0</v>
      </c>
      <c r="N47">
        <f>المخزون!F36</f>
        <v>2025</v>
      </c>
      <c r="O47" s="2">
        <v>1000</v>
      </c>
      <c r="P47" s="2">
        <f>المخزون!E46</f>
        <v>0</v>
      </c>
      <c r="Q47" s="2">
        <f t="shared" si="4"/>
        <v>1000</v>
      </c>
      <c r="R47" s="1">
        <f>المخزون!H46</f>
        <v>0</v>
      </c>
      <c r="S47" s="4">
        <v>0.85</v>
      </c>
      <c r="T47" s="2">
        <f t="shared" si="5"/>
        <v>0</v>
      </c>
      <c r="U47" s="2">
        <v>850</v>
      </c>
      <c r="V47">
        <f t="shared" si="6"/>
        <v>850</v>
      </c>
      <c r="W47" s="3">
        <f t="shared" si="7"/>
        <v>1850</v>
      </c>
    </row>
    <row r="48" spans="1:23" x14ac:dyDescent="0.25">
      <c r="A48">
        <f>المخزون!A47</f>
        <v>0</v>
      </c>
      <c r="B48">
        <f>المخزون!F47</f>
        <v>0</v>
      </c>
      <c r="C48" s="2">
        <v>1000</v>
      </c>
      <c r="D48" s="2">
        <f>المخزون!E47</f>
        <v>0</v>
      </c>
      <c r="E48" s="2">
        <f t="shared" si="0"/>
        <v>1000</v>
      </c>
      <c r="F48" s="1">
        <f>المخزون!H47</f>
        <v>0</v>
      </c>
      <c r="G48" s="4">
        <v>0.9</v>
      </c>
      <c r="H48" s="2">
        <f t="shared" si="8"/>
        <v>0</v>
      </c>
      <c r="I48" s="2">
        <v>850</v>
      </c>
      <c r="J48">
        <f t="shared" si="2"/>
        <v>850</v>
      </c>
      <c r="K48" s="3">
        <f t="shared" si="3"/>
        <v>1850</v>
      </c>
      <c r="M48">
        <f>المخزون!A47</f>
        <v>0</v>
      </c>
      <c r="N48">
        <f>المخزون!F37</f>
        <v>2025</v>
      </c>
      <c r="O48" s="2">
        <v>1000</v>
      </c>
      <c r="P48" s="2">
        <f>المخزون!E47</f>
        <v>0</v>
      </c>
      <c r="Q48" s="2">
        <f t="shared" si="4"/>
        <v>1000</v>
      </c>
      <c r="R48" s="1">
        <f>المخزون!H47</f>
        <v>0</v>
      </c>
      <c r="S48" s="4">
        <v>0.85</v>
      </c>
      <c r="T48" s="2">
        <f t="shared" si="5"/>
        <v>0</v>
      </c>
      <c r="U48" s="2">
        <v>850</v>
      </c>
      <c r="V48">
        <f t="shared" si="6"/>
        <v>850</v>
      </c>
      <c r="W48" s="3">
        <f t="shared" si="7"/>
        <v>1850</v>
      </c>
    </row>
    <row r="49" spans="1:23" x14ac:dyDescent="0.25">
      <c r="A49">
        <f>المخزون!A48</f>
        <v>0</v>
      </c>
      <c r="B49">
        <f>المخزون!F48</f>
        <v>0</v>
      </c>
      <c r="C49" s="2">
        <v>1000</v>
      </c>
      <c r="D49" s="2">
        <f>المخزون!E48</f>
        <v>0</v>
      </c>
      <c r="E49" s="2">
        <f t="shared" si="0"/>
        <v>1000</v>
      </c>
      <c r="F49" s="1">
        <f>المخزون!H48</f>
        <v>0</v>
      </c>
      <c r="G49" s="4">
        <v>0.9</v>
      </c>
      <c r="H49" s="2">
        <f t="shared" si="8"/>
        <v>0</v>
      </c>
      <c r="I49" s="2">
        <v>850</v>
      </c>
      <c r="J49">
        <f t="shared" si="2"/>
        <v>850</v>
      </c>
      <c r="K49" s="3">
        <f t="shared" si="3"/>
        <v>1850</v>
      </c>
      <c r="M49">
        <f>المخزون!A48</f>
        <v>0</v>
      </c>
      <c r="N49">
        <f>المخزون!F38</f>
        <v>0</v>
      </c>
      <c r="O49" s="2">
        <v>1000</v>
      </c>
      <c r="P49" s="2">
        <f>المخزون!E48</f>
        <v>0</v>
      </c>
      <c r="Q49" s="2">
        <f t="shared" si="4"/>
        <v>1000</v>
      </c>
      <c r="R49" s="1">
        <f>المخزون!H48</f>
        <v>0</v>
      </c>
      <c r="S49" s="4">
        <v>0.85</v>
      </c>
      <c r="T49" s="2">
        <f t="shared" si="5"/>
        <v>0</v>
      </c>
      <c r="U49" s="2">
        <v>850</v>
      </c>
      <c r="V49">
        <f t="shared" si="6"/>
        <v>850</v>
      </c>
      <c r="W49" s="3">
        <f t="shared" si="7"/>
        <v>1850</v>
      </c>
    </row>
    <row r="50" spans="1:23" x14ac:dyDescent="0.25">
      <c r="A50">
        <f>المخزون!A49</f>
        <v>0</v>
      </c>
      <c r="B50">
        <f>المخزون!F49</f>
        <v>0</v>
      </c>
      <c r="C50" s="2">
        <v>1000</v>
      </c>
      <c r="D50" s="2">
        <f>المخزون!E49</f>
        <v>0</v>
      </c>
      <c r="E50" s="2">
        <f t="shared" si="0"/>
        <v>1000</v>
      </c>
      <c r="F50" s="1">
        <f>المخزون!H49</f>
        <v>0</v>
      </c>
      <c r="G50" s="4">
        <v>0.9</v>
      </c>
      <c r="H50" s="2">
        <f t="shared" si="8"/>
        <v>0</v>
      </c>
      <c r="I50" s="2">
        <v>850</v>
      </c>
      <c r="J50">
        <f t="shared" si="2"/>
        <v>850</v>
      </c>
      <c r="K50" s="3">
        <f t="shared" si="3"/>
        <v>1850</v>
      </c>
      <c r="M50">
        <f>المخزون!A49</f>
        <v>0</v>
      </c>
      <c r="N50">
        <f>المخزون!F39</f>
        <v>0</v>
      </c>
      <c r="O50" s="2">
        <v>1000</v>
      </c>
      <c r="P50" s="2">
        <f>المخزون!E49</f>
        <v>0</v>
      </c>
      <c r="Q50" s="2">
        <f t="shared" si="4"/>
        <v>1000</v>
      </c>
      <c r="R50" s="1">
        <f>المخزون!H49</f>
        <v>0</v>
      </c>
      <c r="S50" s="4">
        <v>0.85</v>
      </c>
      <c r="T50" s="2">
        <f t="shared" si="5"/>
        <v>0</v>
      </c>
      <c r="U50" s="2">
        <v>850</v>
      </c>
      <c r="V50">
        <f t="shared" si="6"/>
        <v>850</v>
      </c>
      <c r="W50" s="3">
        <f t="shared" si="7"/>
        <v>1850</v>
      </c>
    </row>
    <row r="51" spans="1:23" x14ac:dyDescent="0.25">
      <c r="A51">
        <f>المخزون!A50</f>
        <v>0</v>
      </c>
      <c r="B51">
        <f>المخزون!F50</f>
        <v>0</v>
      </c>
      <c r="C51" s="2">
        <v>1000</v>
      </c>
      <c r="D51" s="2">
        <f>المخزون!E50</f>
        <v>0</v>
      </c>
      <c r="E51" s="2">
        <f t="shared" si="0"/>
        <v>1000</v>
      </c>
      <c r="F51" s="1">
        <f>المخزون!H50</f>
        <v>0</v>
      </c>
      <c r="G51" s="4">
        <v>0.9</v>
      </c>
      <c r="H51" s="2">
        <f t="shared" si="8"/>
        <v>0</v>
      </c>
      <c r="I51" s="2">
        <v>850</v>
      </c>
      <c r="J51">
        <f t="shared" si="2"/>
        <v>850</v>
      </c>
      <c r="K51" s="3">
        <f t="shared" si="3"/>
        <v>1850</v>
      </c>
      <c r="M51">
        <f>المخزون!A50</f>
        <v>0</v>
      </c>
      <c r="N51">
        <f>المخزون!F40</f>
        <v>0</v>
      </c>
      <c r="O51" s="2">
        <v>1000</v>
      </c>
      <c r="P51" s="2">
        <f>المخزون!E40</f>
        <v>0</v>
      </c>
      <c r="Q51" s="2">
        <f t="shared" si="4"/>
        <v>1000</v>
      </c>
      <c r="R51" s="1">
        <f>المخزون!H50</f>
        <v>0</v>
      </c>
      <c r="S51" s="4">
        <v>0.85</v>
      </c>
      <c r="T51" s="2">
        <f t="shared" ref="T51:T53" si="9">R51*S51</f>
        <v>0</v>
      </c>
      <c r="U51" s="2">
        <v>850</v>
      </c>
      <c r="V51">
        <f t="shared" si="6"/>
        <v>850</v>
      </c>
      <c r="W51" s="3">
        <f t="shared" si="7"/>
        <v>1850</v>
      </c>
    </row>
    <row r="52" spans="1:23" x14ac:dyDescent="0.25">
      <c r="A52">
        <f>المخزون!A51</f>
        <v>0</v>
      </c>
      <c r="B52">
        <f>المخزون!F51</f>
        <v>0</v>
      </c>
      <c r="C52" s="2">
        <v>1000</v>
      </c>
      <c r="D52" s="2">
        <f>المخزون!E51</f>
        <v>0</v>
      </c>
      <c r="E52" s="2">
        <f t="shared" si="0"/>
        <v>1000</v>
      </c>
      <c r="F52" s="1">
        <f>المخزون!H51</f>
        <v>0</v>
      </c>
      <c r="G52" s="4">
        <v>0.9</v>
      </c>
      <c r="H52" s="2">
        <f t="shared" si="8"/>
        <v>0</v>
      </c>
      <c r="I52" s="2">
        <v>850</v>
      </c>
      <c r="J52">
        <f t="shared" si="2"/>
        <v>850</v>
      </c>
      <c r="K52" s="3">
        <f t="shared" si="3"/>
        <v>1850</v>
      </c>
      <c r="M52">
        <f>المخزون!A51</f>
        <v>0</v>
      </c>
      <c r="N52">
        <f>المخزون!F41</f>
        <v>0</v>
      </c>
      <c r="O52" s="2">
        <v>1000</v>
      </c>
      <c r="P52" s="2">
        <f>المخزون!E41</f>
        <v>0</v>
      </c>
      <c r="Q52" s="2">
        <f t="shared" ref="Q52:Q57" si="10">O52+P52</f>
        <v>1000</v>
      </c>
      <c r="R52" s="1">
        <f>المخزون!H51</f>
        <v>0</v>
      </c>
      <c r="S52" s="4">
        <v>0.85</v>
      </c>
      <c r="T52" s="2">
        <f t="shared" si="9"/>
        <v>0</v>
      </c>
      <c r="U52" s="2">
        <v>850</v>
      </c>
      <c r="V52">
        <f t="shared" si="6"/>
        <v>850</v>
      </c>
      <c r="W52" s="3">
        <f t="shared" si="7"/>
        <v>1850</v>
      </c>
    </row>
    <row r="53" spans="1:23" x14ac:dyDescent="0.25">
      <c r="A53">
        <f>المخزون!A52</f>
        <v>0</v>
      </c>
      <c r="B53">
        <f>المخزون!F52</f>
        <v>0</v>
      </c>
      <c r="C53" s="2">
        <v>1000</v>
      </c>
      <c r="D53" s="2">
        <f>المخزون!E52</f>
        <v>0</v>
      </c>
      <c r="E53" s="2">
        <f t="shared" si="0"/>
        <v>1000</v>
      </c>
      <c r="F53" s="1">
        <f>المخزون!H52</f>
        <v>0</v>
      </c>
      <c r="G53" s="4">
        <v>0.9</v>
      </c>
      <c r="H53" s="2">
        <f t="shared" si="8"/>
        <v>0</v>
      </c>
      <c r="I53" s="2">
        <v>850</v>
      </c>
      <c r="J53">
        <f t="shared" si="2"/>
        <v>850</v>
      </c>
      <c r="K53" s="3">
        <f t="shared" si="3"/>
        <v>1850</v>
      </c>
      <c r="M53">
        <f>المخزون!A52</f>
        <v>0</v>
      </c>
      <c r="N53">
        <f>المخزون!F42</f>
        <v>0</v>
      </c>
      <c r="O53" s="2">
        <v>1000</v>
      </c>
      <c r="P53" s="2">
        <f>المخزون!E42</f>
        <v>0</v>
      </c>
      <c r="Q53" s="2">
        <f t="shared" si="10"/>
        <v>1000</v>
      </c>
      <c r="R53" s="1">
        <f>المخزون!H52</f>
        <v>0</v>
      </c>
      <c r="S53" s="4">
        <v>0.85</v>
      </c>
      <c r="T53" s="2">
        <f t="shared" si="9"/>
        <v>0</v>
      </c>
      <c r="U53" s="2">
        <v>850</v>
      </c>
      <c r="V53">
        <f t="shared" si="6"/>
        <v>850</v>
      </c>
      <c r="W53" s="3">
        <f t="shared" si="7"/>
        <v>1850</v>
      </c>
    </row>
    <row r="54" spans="1:23" x14ac:dyDescent="0.25">
      <c r="A54">
        <f>المخزون!A53</f>
        <v>0</v>
      </c>
      <c r="B54">
        <f>المخزون!F53</f>
        <v>0</v>
      </c>
      <c r="C54" s="2">
        <v>1000</v>
      </c>
      <c r="D54" s="2">
        <f>المخزون!E53</f>
        <v>0</v>
      </c>
      <c r="E54" s="2">
        <f t="shared" si="0"/>
        <v>1000</v>
      </c>
      <c r="F54" s="1">
        <f>المخزون!H53</f>
        <v>0</v>
      </c>
      <c r="G54" s="4">
        <v>0.9</v>
      </c>
      <c r="H54" s="2">
        <f t="shared" si="8"/>
        <v>0</v>
      </c>
      <c r="I54" s="2">
        <v>850</v>
      </c>
      <c r="J54">
        <f t="shared" si="2"/>
        <v>850</v>
      </c>
      <c r="K54" s="3">
        <f t="shared" si="3"/>
        <v>1850</v>
      </c>
      <c r="M54">
        <f>المخزون!A53</f>
        <v>0</v>
      </c>
      <c r="N54">
        <f>المخزون!F43</f>
        <v>0</v>
      </c>
      <c r="O54" s="2">
        <v>1000</v>
      </c>
      <c r="P54" s="2">
        <f>المخزون!E43</f>
        <v>0</v>
      </c>
      <c r="Q54" s="2">
        <f t="shared" si="10"/>
        <v>1000</v>
      </c>
      <c r="R54" s="1">
        <f>المخزون!H53</f>
        <v>0</v>
      </c>
      <c r="S54" s="4">
        <v>0.85</v>
      </c>
      <c r="T54" s="2">
        <f t="shared" ref="T54:T63" si="11">R54*S54</f>
        <v>0</v>
      </c>
      <c r="U54" s="2">
        <v>850</v>
      </c>
      <c r="V54">
        <f t="shared" si="6"/>
        <v>850</v>
      </c>
      <c r="W54" s="3">
        <f t="shared" si="7"/>
        <v>1850</v>
      </c>
    </row>
    <row r="55" spans="1:23" x14ac:dyDescent="0.25">
      <c r="A55">
        <f>المخزون!A54</f>
        <v>0</v>
      </c>
      <c r="B55">
        <f>المخزون!F54</f>
        <v>0</v>
      </c>
      <c r="C55" s="2">
        <v>1000</v>
      </c>
      <c r="D55" s="2">
        <f>المخزون!E54</f>
        <v>0</v>
      </c>
      <c r="E55" s="2">
        <f t="shared" si="0"/>
        <v>1000</v>
      </c>
      <c r="F55" s="1">
        <f>المخزون!H54</f>
        <v>0</v>
      </c>
      <c r="G55" s="4">
        <v>0.9</v>
      </c>
      <c r="H55" s="2">
        <f t="shared" si="8"/>
        <v>0</v>
      </c>
      <c r="I55" s="2">
        <v>850</v>
      </c>
      <c r="J55">
        <f t="shared" si="2"/>
        <v>850</v>
      </c>
      <c r="K55" s="3">
        <f t="shared" si="3"/>
        <v>1850</v>
      </c>
      <c r="M55">
        <f>المخزون!A54</f>
        <v>0</v>
      </c>
      <c r="N55">
        <f>المخزون!F44</f>
        <v>0</v>
      </c>
      <c r="O55" s="2">
        <v>1000</v>
      </c>
      <c r="P55" s="2">
        <f>المخزون!E44</f>
        <v>0</v>
      </c>
      <c r="Q55" s="2">
        <f t="shared" si="10"/>
        <v>1000</v>
      </c>
      <c r="R55" s="1">
        <f>المخزون!H54</f>
        <v>0</v>
      </c>
      <c r="S55" s="4">
        <v>0.85</v>
      </c>
      <c r="T55" s="2">
        <f t="shared" si="11"/>
        <v>0</v>
      </c>
      <c r="U55" s="2">
        <v>850</v>
      </c>
      <c r="V55">
        <f t="shared" si="6"/>
        <v>850</v>
      </c>
      <c r="W55" s="3">
        <f t="shared" si="7"/>
        <v>1850</v>
      </c>
    </row>
    <row r="56" spans="1:23" x14ac:dyDescent="0.25">
      <c r="A56">
        <f>المخزون!A55</f>
        <v>0</v>
      </c>
      <c r="B56">
        <f>المخزون!F55</f>
        <v>0</v>
      </c>
      <c r="C56" s="2">
        <v>1000</v>
      </c>
      <c r="D56" s="2">
        <f>المخزون!E55</f>
        <v>0</v>
      </c>
      <c r="E56" s="2">
        <f t="shared" si="0"/>
        <v>1000</v>
      </c>
      <c r="F56" s="1">
        <f>المخزون!H55</f>
        <v>0</v>
      </c>
      <c r="G56" s="4">
        <v>0.9</v>
      </c>
      <c r="H56" s="2">
        <f t="shared" si="8"/>
        <v>0</v>
      </c>
      <c r="I56" s="2">
        <v>850</v>
      </c>
      <c r="J56">
        <f t="shared" ref="J56:J57" si="12">H56+I56</f>
        <v>850</v>
      </c>
      <c r="K56" s="3">
        <f t="shared" si="3"/>
        <v>1850</v>
      </c>
      <c r="M56">
        <f>المخزون!A45</f>
        <v>0</v>
      </c>
      <c r="N56">
        <f>المخزون!F45</f>
        <v>0</v>
      </c>
      <c r="O56" s="2">
        <v>1000</v>
      </c>
      <c r="P56" s="2">
        <f>المخزون!E45</f>
        <v>0</v>
      </c>
      <c r="Q56" s="2">
        <f t="shared" si="10"/>
        <v>1000</v>
      </c>
      <c r="R56" s="1">
        <f>المخزون!H55</f>
        <v>0</v>
      </c>
      <c r="S56" s="4">
        <v>0.85</v>
      </c>
      <c r="T56" s="2">
        <f t="shared" si="11"/>
        <v>0</v>
      </c>
      <c r="U56" s="2">
        <v>850</v>
      </c>
      <c r="V56">
        <f t="shared" ref="V56:V61" si="13">T56+U56</f>
        <v>850</v>
      </c>
      <c r="W56" s="3">
        <f t="shared" si="7"/>
        <v>1850</v>
      </c>
    </row>
    <row r="57" spans="1:23" x14ac:dyDescent="0.25">
      <c r="A57">
        <f>المخزون!A56</f>
        <v>0</v>
      </c>
      <c r="B57">
        <f>المخزون!F56</f>
        <v>0</v>
      </c>
      <c r="C57" s="2">
        <v>1000</v>
      </c>
      <c r="D57" s="2">
        <f>المخزون!E56</f>
        <v>0</v>
      </c>
      <c r="E57" s="2">
        <f t="shared" si="0"/>
        <v>1000</v>
      </c>
      <c r="F57" s="1">
        <f>المخزون!H56</f>
        <v>0</v>
      </c>
      <c r="G57" s="4">
        <v>0.9</v>
      </c>
      <c r="H57" s="2">
        <f t="shared" si="8"/>
        <v>0</v>
      </c>
      <c r="I57" s="2">
        <v>850</v>
      </c>
      <c r="J57">
        <f t="shared" si="12"/>
        <v>850</v>
      </c>
      <c r="K57" s="3">
        <f t="shared" si="3"/>
        <v>1850</v>
      </c>
      <c r="M57">
        <f>المخزون!A46</f>
        <v>0</v>
      </c>
      <c r="N57">
        <f>المخزون!F46</f>
        <v>0</v>
      </c>
      <c r="O57" s="2">
        <v>1000</v>
      </c>
      <c r="P57" s="2">
        <f>المخزون!E46</f>
        <v>0</v>
      </c>
      <c r="Q57" s="2">
        <f t="shared" si="10"/>
        <v>1000</v>
      </c>
      <c r="R57" s="1">
        <f>المخزون!H56</f>
        <v>0</v>
      </c>
      <c r="S57" s="4">
        <v>0.85</v>
      </c>
      <c r="T57" s="2">
        <f t="shared" si="11"/>
        <v>0</v>
      </c>
      <c r="U57" s="2">
        <v>850</v>
      </c>
      <c r="V57">
        <f t="shared" si="13"/>
        <v>850</v>
      </c>
      <c r="W57" s="3">
        <f t="shared" si="7"/>
        <v>1850</v>
      </c>
    </row>
    <row r="58" spans="1:23" x14ac:dyDescent="0.25">
      <c r="A58">
        <f>المخزون!A57</f>
        <v>0</v>
      </c>
      <c r="B58">
        <f>المخزون!F45</f>
        <v>0</v>
      </c>
      <c r="C58" s="2">
        <v>1000</v>
      </c>
      <c r="D58" s="2">
        <f>المخزون!E47</f>
        <v>0</v>
      </c>
      <c r="E58" s="2">
        <f t="shared" ref="E58:E63" si="14">D58+C58</f>
        <v>1000</v>
      </c>
      <c r="F58" s="1">
        <f>المخزون!H57</f>
        <v>0</v>
      </c>
      <c r="G58" s="4">
        <v>0.9</v>
      </c>
      <c r="H58" s="2">
        <f t="shared" ref="H58:H63" si="15">F58*G58</f>
        <v>0</v>
      </c>
      <c r="I58" s="2">
        <v>850</v>
      </c>
      <c r="J58">
        <f t="shared" ref="J58:J63" si="16">H58+I58</f>
        <v>850</v>
      </c>
      <c r="K58" s="3">
        <f t="shared" ref="K58:K63" si="17">(E58+I58)-H58</f>
        <v>1850</v>
      </c>
      <c r="M58">
        <f>المخزون!A47</f>
        <v>0</v>
      </c>
      <c r="N58">
        <f>المخزون!F47</f>
        <v>0</v>
      </c>
      <c r="O58" s="2">
        <v>1000</v>
      </c>
      <c r="P58" s="2">
        <f>المخزون!E47</f>
        <v>0</v>
      </c>
      <c r="Q58" s="2">
        <f t="shared" ref="Q58:Q59" si="18">O58+P58</f>
        <v>1000</v>
      </c>
      <c r="S58" s="4">
        <v>0.85</v>
      </c>
      <c r="T58" s="2">
        <f t="shared" si="11"/>
        <v>0</v>
      </c>
      <c r="U58" s="2">
        <v>850</v>
      </c>
      <c r="V58">
        <f t="shared" si="13"/>
        <v>850</v>
      </c>
      <c r="W58" s="3">
        <f t="shared" ref="W58:W62" si="19">(Q58+U58)-T58</f>
        <v>1850</v>
      </c>
    </row>
    <row r="59" spans="1:23" x14ac:dyDescent="0.25">
      <c r="A59">
        <f>المخزون!A58</f>
        <v>0</v>
      </c>
      <c r="B59">
        <f>المخزون!F46</f>
        <v>0</v>
      </c>
      <c r="C59" s="2">
        <v>1000</v>
      </c>
      <c r="D59" s="2">
        <f>المخزون!E48</f>
        <v>0</v>
      </c>
      <c r="E59" s="2">
        <f t="shared" si="14"/>
        <v>1000</v>
      </c>
      <c r="F59" s="1">
        <f>المخزون!H58</f>
        <v>0</v>
      </c>
      <c r="G59" s="4">
        <v>0.9</v>
      </c>
      <c r="H59" s="2">
        <f t="shared" si="15"/>
        <v>0</v>
      </c>
      <c r="I59" s="2">
        <v>850</v>
      </c>
      <c r="J59">
        <f t="shared" si="16"/>
        <v>850</v>
      </c>
      <c r="K59" s="3">
        <f t="shared" si="17"/>
        <v>1850</v>
      </c>
      <c r="M59">
        <f>المخزون!A48</f>
        <v>0</v>
      </c>
      <c r="N59">
        <f>المخزون!F48</f>
        <v>0</v>
      </c>
      <c r="O59" s="2">
        <v>1000</v>
      </c>
      <c r="P59" s="2">
        <f>المخزون!E48</f>
        <v>0</v>
      </c>
      <c r="Q59" s="2">
        <f t="shared" si="18"/>
        <v>1000</v>
      </c>
      <c r="S59" s="4">
        <v>0.85</v>
      </c>
      <c r="T59" s="2">
        <f t="shared" si="11"/>
        <v>0</v>
      </c>
      <c r="U59" s="2">
        <v>850</v>
      </c>
      <c r="V59">
        <f t="shared" si="13"/>
        <v>850</v>
      </c>
      <c r="W59" s="3">
        <f t="shared" si="19"/>
        <v>1850</v>
      </c>
    </row>
    <row r="60" spans="1:23" x14ac:dyDescent="0.25">
      <c r="A60">
        <f>المخزون!A41</f>
        <v>0</v>
      </c>
      <c r="B60">
        <f>المخزون!F47</f>
        <v>0</v>
      </c>
      <c r="C60" s="2">
        <v>1000</v>
      </c>
      <c r="D60" s="2">
        <f>المخزون!E41</f>
        <v>0</v>
      </c>
      <c r="E60" s="2">
        <f t="shared" si="14"/>
        <v>1000</v>
      </c>
      <c r="F60" s="1">
        <f>المخزون!H59</f>
        <v>0</v>
      </c>
      <c r="G60" s="4">
        <v>0.9</v>
      </c>
      <c r="H60" s="2">
        <f t="shared" si="15"/>
        <v>0</v>
      </c>
      <c r="I60" s="2">
        <v>850</v>
      </c>
      <c r="J60">
        <f t="shared" si="16"/>
        <v>850</v>
      </c>
      <c r="K60" s="3">
        <f t="shared" si="17"/>
        <v>1850</v>
      </c>
      <c r="M60">
        <f>المخزون!A41</f>
        <v>0</v>
      </c>
      <c r="N60">
        <f>المخزون!F41</f>
        <v>0</v>
      </c>
      <c r="O60" s="2">
        <v>1000</v>
      </c>
      <c r="P60" s="2">
        <f>المخزون!E41</f>
        <v>0</v>
      </c>
      <c r="Q60" s="2">
        <f t="shared" ref="Q60:Q63" si="20">O60+P60</f>
        <v>1000</v>
      </c>
      <c r="S60" s="4">
        <v>0.85</v>
      </c>
      <c r="T60" s="2">
        <f t="shared" si="11"/>
        <v>0</v>
      </c>
      <c r="U60" s="2">
        <v>850</v>
      </c>
      <c r="V60">
        <f t="shared" si="13"/>
        <v>850</v>
      </c>
      <c r="W60" s="3">
        <f t="shared" si="19"/>
        <v>1850</v>
      </c>
    </row>
    <row r="61" spans="1:23" x14ac:dyDescent="0.25">
      <c r="A61">
        <f>المخزون!A42</f>
        <v>0</v>
      </c>
      <c r="B61">
        <f>المخزون!F48</f>
        <v>0</v>
      </c>
      <c r="C61" s="2">
        <v>1000</v>
      </c>
      <c r="D61" s="2">
        <f>المخزون!E42</f>
        <v>0</v>
      </c>
      <c r="E61" s="2">
        <f t="shared" si="14"/>
        <v>1000</v>
      </c>
      <c r="F61" s="1">
        <f>المخزون!H60</f>
        <v>0</v>
      </c>
      <c r="G61" s="4">
        <v>0.9</v>
      </c>
      <c r="H61" s="2">
        <f t="shared" si="15"/>
        <v>0</v>
      </c>
      <c r="I61" s="2">
        <v>850</v>
      </c>
      <c r="J61">
        <f t="shared" si="16"/>
        <v>850</v>
      </c>
      <c r="K61" s="3">
        <f t="shared" si="17"/>
        <v>1850</v>
      </c>
      <c r="M61">
        <f>المخزون!A42</f>
        <v>0</v>
      </c>
      <c r="N61">
        <f>المخزون!F42</f>
        <v>0</v>
      </c>
      <c r="O61" s="2">
        <v>1000</v>
      </c>
      <c r="P61" s="2">
        <f>المخزون!E42</f>
        <v>0</v>
      </c>
      <c r="Q61" s="2">
        <f t="shared" si="20"/>
        <v>1000</v>
      </c>
      <c r="S61" s="4">
        <v>0.85</v>
      </c>
      <c r="T61" s="2">
        <f t="shared" si="11"/>
        <v>0</v>
      </c>
      <c r="U61" s="2">
        <v>850</v>
      </c>
      <c r="V61">
        <f t="shared" si="13"/>
        <v>850</v>
      </c>
      <c r="W61" s="3">
        <f t="shared" si="19"/>
        <v>1850</v>
      </c>
    </row>
    <row r="62" spans="1:23" x14ac:dyDescent="0.25">
      <c r="A62">
        <f>المخزون!A43</f>
        <v>0</v>
      </c>
      <c r="B62">
        <f>المخزون!F43</f>
        <v>0</v>
      </c>
      <c r="C62" s="2">
        <v>1000</v>
      </c>
      <c r="D62" s="2">
        <f>المخزون!E43</f>
        <v>0</v>
      </c>
      <c r="E62" s="2">
        <f t="shared" si="14"/>
        <v>1000</v>
      </c>
      <c r="G62" s="4">
        <v>0.9</v>
      </c>
      <c r="H62" s="2">
        <f t="shared" si="15"/>
        <v>0</v>
      </c>
      <c r="I62" s="2">
        <v>850</v>
      </c>
      <c r="J62">
        <f t="shared" si="16"/>
        <v>850</v>
      </c>
      <c r="K62" s="3">
        <f t="shared" si="17"/>
        <v>1850</v>
      </c>
      <c r="M62">
        <f>المخزون!A43</f>
        <v>0</v>
      </c>
      <c r="N62">
        <f>المخزون!F43</f>
        <v>0</v>
      </c>
      <c r="O62" s="2">
        <v>1000</v>
      </c>
      <c r="P62" s="2">
        <f>المخزون!E43</f>
        <v>0</v>
      </c>
      <c r="Q62" s="2">
        <f t="shared" si="20"/>
        <v>1000</v>
      </c>
      <c r="S62" s="4">
        <v>0.85</v>
      </c>
      <c r="T62" s="2">
        <f t="shared" si="11"/>
        <v>0</v>
      </c>
      <c r="U62" s="2">
        <v>850</v>
      </c>
      <c r="V62">
        <f t="shared" ref="V62:V63" si="21">T62+U62</f>
        <v>850</v>
      </c>
      <c r="W62" s="3">
        <f t="shared" si="19"/>
        <v>1850</v>
      </c>
    </row>
    <row r="63" spans="1:23" x14ac:dyDescent="0.25">
      <c r="A63">
        <f>المخزون!A44</f>
        <v>0</v>
      </c>
      <c r="B63">
        <f>المخزون!F44</f>
        <v>0</v>
      </c>
      <c r="C63" s="2">
        <v>1000</v>
      </c>
      <c r="D63" s="2">
        <f>المخزون!E44</f>
        <v>0</v>
      </c>
      <c r="E63" s="2">
        <f t="shared" si="14"/>
        <v>1000</v>
      </c>
      <c r="G63" s="4">
        <v>0.9</v>
      </c>
      <c r="H63" s="2">
        <f t="shared" si="15"/>
        <v>0</v>
      </c>
      <c r="I63" s="2">
        <v>850</v>
      </c>
      <c r="J63">
        <f t="shared" si="16"/>
        <v>850</v>
      </c>
      <c r="K63" s="3">
        <f t="shared" si="17"/>
        <v>1850</v>
      </c>
      <c r="M63">
        <f>المخزون!A44</f>
        <v>0</v>
      </c>
      <c r="N63">
        <f>المخزون!F44</f>
        <v>0</v>
      </c>
      <c r="O63" s="2">
        <v>1000</v>
      </c>
      <c r="P63" s="2">
        <f>المخزون!E44</f>
        <v>0</v>
      </c>
      <c r="Q63" s="2">
        <f t="shared" si="20"/>
        <v>1000</v>
      </c>
      <c r="S63" s="4">
        <v>0.85</v>
      </c>
      <c r="T63" s="2">
        <f t="shared" si="11"/>
        <v>0</v>
      </c>
      <c r="U63" s="2">
        <v>850</v>
      </c>
      <c r="V63">
        <f t="shared" si="21"/>
        <v>850</v>
      </c>
      <c r="W63" s="3">
        <f t="shared" ref="W63" si="22">(Q63+U63)-T63</f>
        <v>1850</v>
      </c>
    </row>
  </sheetData>
  <mergeCells count="47">
    <mergeCell ref="K2:K3"/>
    <mergeCell ref="A1:J1"/>
    <mergeCell ref="M1:W1"/>
    <mergeCell ref="M2:M3"/>
    <mergeCell ref="N2:N3"/>
    <mergeCell ref="O2:O3"/>
    <mergeCell ref="P2:P3"/>
    <mergeCell ref="V2:V3"/>
    <mergeCell ref="W2:W3"/>
    <mergeCell ref="Q2:Q3"/>
    <mergeCell ref="R2:R3"/>
    <mergeCell ref="S2:S3"/>
    <mergeCell ref="T2:T3"/>
    <mergeCell ref="U2:U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X7:AC7"/>
    <mergeCell ref="X8:AC8"/>
    <mergeCell ref="X9:AC9"/>
    <mergeCell ref="X1:AC1"/>
    <mergeCell ref="X2:AC3"/>
    <mergeCell ref="X4:AC4"/>
    <mergeCell ref="X5:AC5"/>
    <mergeCell ref="X6:AC6"/>
    <mergeCell ref="X22:AC22"/>
    <mergeCell ref="X23:AC23"/>
    <mergeCell ref="X24:AC24"/>
    <mergeCell ref="X25:AC25"/>
    <mergeCell ref="X10:AC11"/>
    <mergeCell ref="X17:AC17"/>
    <mergeCell ref="X18:AC18"/>
    <mergeCell ref="X19:AC19"/>
    <mergeCell ref="X20:AC20"/>
    <mergeCell ref="X21:AC21"/>
    <mergeCell ref="X12:AC12"/>
    <mergeCell ref="X13:AC13"/>
    <mergeCell ref="X14:AC14"/>
    <mergeCell ref="X15:AC15"/>
    <mergeCell ref="X16:AC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EABE-2C02-41FE-85E1-CA1EF22180A7}">
  <sheetPr codeName="Sheet5"/>
  <dimension ref="A1:S63"/>
  <sheetViews>
    <sheetView topLeftCell="A28" workbookViewId="0">
      <selection activeCell="B36" sqref="B36"/>
    </sheetView>
  </sheetViews>
  <sheetFormatPr defaultRowHeight="15" x14ac:dyDescent="0.25"/>
  <cols>
    <col min="1" max="1" width="21.140625" bestFit="1" customWidth="1"/>
    <col min="2" max="2" width="5.85546875" bestFit="1" customWidth="1"/>
    <col min="3" max="3" width="6.7109375" bestFit="1" customWidth="1"/>
    <col min="4" max="4" width="13.28515625" bestFit="1" customWidth="1"/>
    <col min="5" max="6" width="6" bestFit="1" customWidth="1"/>
    <col min="7" max="7" width="9.7109375" bestFit="1" customWidth="1"/>
    <col min="8" max="8" width="5" bestFit="1" customWidth="1"/>
    <col min="9" max="9" width="10.42578125" bestFit="1" customWidth="1"/>
    <col min="10" max="10" width="8.140625" bestFit="1" customWidth="1"/>
    <col min="11" max="11" width="8.42578125" bestFit="1" customWidth="1"/>
    <col min="12" max="12" width="12.140625" bestFit="1" customWidth="1"/>
    <col min="13" max="13" width="7.42578125" bestFit="1" customWidth="1"/>
  </cols>
  <sheetData>
    <row r="1" spans="1:19" ht="26.25" x14ac:dyDescent="0.25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3" t="s">
        <v>21</v>
      </c>
      <c r="N1" s="23" t="s">
        <v>49</v>
      </c>
      <c r="O1" s="23"/>
      <c r="P1" s="23"/>
      <c r="Q1" s="23"/>
      <c r="R1" s="23"/>
      <c r="S1" s="23"/>
    </row>
    <row r="2" spans="1:19" x14ac:dyDescent="0.25">
      <c r="A2" s="21" t="s">
        <v>5</v>
      </c>
      <c r="B2" s="21"/>
      <c r="C2" s="21" t="s">
        <v>4</v>
      </c>
      <c r="D2" s="26" t="s">
        <v>12</v>
      </c>
      <c r="E2" s="26" t="s">
        <v>10</v>
      </c>
      <c r="F2" s="26" t="s">
        <v>6</v>
      </c>
      <c r="G2" s="26" t="s">
        <v>7</v>
      </c>
      <c r="H2" s="26" t="s">
        <v>13</v>
      </c>
      <c r="I2" s="26" t="s">
        <v>8</v>
      </c>
      <c r="J2" s="26" t="s">
        <v>9</v>
      </c>
      <c r="K2" s="26" t="s">
        <v>11</v>
      </c>
      <c r="L2" s="26" t="s">
        <v>14</v>
      </c>
      <c r="M2" s="22"/>
      <c r="N2" s="21" t="s">
        <v>54</v>
      </c>
      <c r="O2" s="21"/>
      <c r="P2" s="21"/>
      <c r="Q2" s="21"/>
      <c r="R2" s="21"/>
      <c r="S2" s="21"/>
    </row>
    <row r="3" spans="1:19" x14ac:dyDescent="0.25">
      <c r="A3" s="21"/>
      <c r="B3" s="21"/>
      <c r="C3" s="21"/>
      <c r="D3" s="26"/>
      <c r="E3" s="26"/>
      <c r="F3" s="26"/>
      <c r="G3" s="26"/>
      <c r="H3" s="26"/>
      <c r="I3" s="26"/>
      <c r="J3" s="26"/>
      <c r="K3" s="26"/>
      <c r="L3" s="26"/>
      <c r="M3" s="22"/>
      <c r="N3" s="21"/>
      <c r="O3" s="21"/>
      <c r="P3" s="21"/>
      <c r="Q3" s="21"/>
      <c r="R3" s="21"/>
      <c r="S3" s="21"/>
    </row>
    <row r="4" spans="1:19" x14ac:dyDescent="0.25">
      <c r="A4" t="str">
        <f>المخزون!A3</f>
        <v>BYD Dolphyn</v>
      </c>
      <c r="B4">
        <f>المخزون!D3</f>
        <v>0</v>
      </c>
      <c r="C4">
        <f>المخزون!F3</f>
        <v>2022</v>
      </c>
      <c r="D4" s="2">
        <v>1000</v>
      </c>
      <c r="E4" s="2">
        <f>المخزون!E3</f>
        <v>12800</v>
      </c>
      <c r="F4" s="2">
        <f>D4+E4</f>
        <v>13800</v>
      </c>
      <c r="G4" s="1">
        <f>المخزون!I3</f>
        <v>14300</v>
      </c>
      <c r="H4" s="4">
        <v>0.9</v>
      </c>
      <c r="I4" s="2">
        <f>G4*H4</f>
        <v>12870</v>
      </c>
      <c r="J4" s="2">
        <v>1200</v>
      </c>
      <c r="K4">
        <f>I4+J4</f>
        <v>14070</v>
      </c>
      <c r="L4" s="3">
        <f>(F4+J4)-I4</f>
        <v>2130</v>
      </c>
      <c r="N4" s="21" t="s">
        <v>50</v>
      </c>
      <c r="O4" s="21"/>
      <c r="P4" s="21"/>
      <c r="Q4" s="21"/>
      <c r="R4" s="21"/>
      <c r="S4" s="21"/>
    </row>
    <row r="5" spans="1:19" x14ac:dyDescent="0.25">
      <c r="A5" t="str">
        <f>المخزون!A4</f>
        <v>Hyundai Enciano</v>
      </c>
      <c r="B5">
        <f>المخزون!D4</f>
        <v>0</v>
      </c>
      <c r="C5">
        <f>المخزون!F4</f>
        <v>2019</v>
      </c>
      <c r="D5" s="2">
        <v>1000</v>
      </c>
      <c r="E5" s="2">
        <f>المخزون!E4</f>
        <v>15500</v>
      </c>
      <c r="F5" s="2">
        <f t="shared" ref="F5:F57" si="0">D5+E5</f>
        <v>16500</v>
      </c>
      <c r="G5" s="1" t="str">
        <f>المخزون!I4</f>
        <v>Cash Only</v>
      </c>
      <c r="H5" s="4">
        <v>0.9</v>
      </c>
      <c r="I5" s="2" t="e">
        <f t="shared" ref="I5:I57" si="1">G5*H5</f>
        <v>#VALUE!</v>
      </c>
      <c r="J5" s="2">
        <v>1200</v>
      </c>
      <c r="K5" t="e">
        <f t="shared" ref="K5:K57" si="2">I5+J5</f>
        <v>#VALUE!</v>
      </c>
      <c r="L5" s="3" t="e">
        <f t="shared" ref="L5:L47" si="3">(F5+J5)-I5</f>
        <v>#VALUE!</v>
      </c>
      <c r="N5" s="21" t="s">
        <v>51</v>
      </c>
      <c r="O5" s="21"/>
      <c r="P5" s="21"/>
      <c r="Q5" s="21"/>
      <c r="R5" s="21"/>
      <c r="S5" s="21"/>
    </row>
    <row r="6" spans="1:19" x14ac:dyDescent="0.25">
      <c r="A6" t="str">
        <f>المخزون!A5</f>
        <v>Neta V</v>
      </c>
      <c r="B6">
        <f>المخزون!D5</f>
        <v>0</v>
      </c>
      <c r="C6">
        <f>المخزون!F5</f>
        <v>2022</v>
      </c>
      <c r="D6" s="2">
        <v>1000</v>
      </c>
      <c r="E6" s="2">
        <f>المخزون!E5</f>
        <v>9700</v>
      </c>
      <c r="F6" s="2">
        <f t="shared" si="0"/>
        <v>10700</v>
      </c>
      <c r="G6" s="1">
        <f>المخزون!I5</f>
        <v>0</v>
      </c>
      <c r="H6" s="4">
        <v>0.9</v>
      </c>
      <c r="I6" s="2">
        <f t="shared" si="1"/>
        <v>0</v>
      </c>
      <c r="J6" s="2">
        <v>1200</v>
      </c>
      <c r="K6">
        <f t="shared" si="2"/>
        <v>1200</v>
      </c>
      <c r="L6" s="3">
        <f t="shared" si="3"/>
        <v>11900</v>
      </c>
      <c r="N6" s="21" t="s">
        <v>52</v>
      </c>
      <c r="O6" s="21"/>
      <c r="P6" s="21"/>
      <c r="Q6" s="21"/>
      <c r="R6" s="21"/>
      <c r="S6" s="21"/>
    </row>
    <row r="7" spans="1:19" x14ac:dyDescent="0.25">
      <c r="A7" t="str">
        <f>المخزون!A6</f>
        <v>Neta V</v>
      </c>
      <c r="B7">
        <f>المخزون!D6</f>
        <v>0</v>
      </c>
      <c r="C7">
        <f>المخزون!F6</f>
        <v>2021</v>
      </c>
      <c r="D7" s="2">
        <v>1000</v>
      </c>
      <c r="E7" s="2">
        <f>المخزون!E6</f>
        <v>8700</v>
      </c>
      <c r="F7" s="2">
        <f t="shared" si="0"/>
        <v>9700</v>
      </c>
      <c r="G7" s="1">
        <f>المخزون!I6</f>
        <v>9000</v>
      </c>
      <c r="H7" s="4">
        <v>0.9</v>
      </c>
      <c r="I7" s="2">
        <f t="shared" si="1"/>
        <v>8100</v>
      </c>
      <c r="J7" s="2">
        <v>1200</v>
      </c>
      <c r="K7">
        <f t="shared" si="2"/>
        <v>9300</v>
      </c>
      <c r="L7" s="3">
        <f t="shared" si="3"/>
        <v>2800</v>
      </c>
      <c r="N7" s="21" t="s">
        <v>53</v>
      </c>
      <c r="O7" s="21"/>
      <c r="P7" s="21"/>
      <c r="Q7" s="21"/>
      <c r="R7" s="21"/>
      <c r="S7" s="21"/>
    </row>
    <row r="8" spans="1:19" x14ac:dyDescent="0.25">
      <c r="A8" t="str">
        <f>المخزون!A7</f>
        <v>Neta U / FULL</v>
      </c>
      <c r="B8">
        <f>المخزون!D7</f>
        <v>0</v>
      </c>
      <c r="C8">
        <f>المخزون!F7</f>
        <v>2022</v>
      </c>
      <c r="D8" s="2">
        <v>1000</v>
      </c>
      <c r="E8" s="2">
        <f>المخزون!E7</f>
        <v>15000</v>
      </c>
      <c r="F8" s="2">
        <f t="shared" si="0"/>
        <v>16000</v>
      </c>
      <c r="G8" s="1">
        <f>المخزون!I7</f>
        <v>16000</v>
      </c>
      <c r="H8" s="4">
        <v>0.9</v>
      </c>
      <c r="I8" s="2">
        <f t="shared" si="1"/>
        <v>14400</v>
      </c>
      <c r="J8" s="2">
        <v>1200</v>
      </c>
      <c r="K8">
        <f t="shared" si="2"/>
        <v>15600</v>
      </c>
      <c r="L8" s="3">
        <f t="shared" si="3"/>
        <v>2800</v>
      </c>
      <c r="N8" s="21"/>
      <c r="O8" s="21"/>
      <c r="P8" s="21"/>
      <c r="Q8" s="21"/>
      <c r="R8" s="21"/>
      <c r="S8" s="21"/>
    </row>
    <row r="9" spans="1:19" x14ac:dyDescent="0.25">
      <c r="A9" t="str">
        <f>المخزون!A8</f>
        <v>Neta Aya</v>
      </c>
      <c r="B9">
        <f>المخزون!D8</f>
        <v>0</v>
      </c>
      <c r="C9">
        <f>المخزون!F8</f>
        <v>2023</v>
      </c>
      <c r="D9" s="2">
        <v>1000</v>
      </c>
      <c r="E9" s="2">
        <f>المخزون!E8</f>
        <v>10100</v>
      </c>
      <c r="F9" s="2">
        <f t="shared" si="0"/>
        <v>11100</v>
      </c>
      <c r="G9" s="1">
        <f>المخزون!I8</f>
        <v>12000</v>
      </c>
      <c r="H9" s="4">
        <v>0.9</v>
      </c>
      <c r="I9" s="2">
        <f t="shared" si="1"/>
        <v>10800</v>
      </c>
      <c r="J9" s="2">
        <v>1200</v>
      </c>
      <c r="K9">
        <f t="shared" si="2"/>
        <v>12000</v>
      </c>
      <c r="L9" s="3">
        <f t="shared" si="3"/>
        <v>1500</v>
      </c>
      <c r="N9" s="22" t="s">
        <v>62</v>
      </c>
      <c r="O9" s="22"/>
      <c r="P9" s="22"/>
      <c r="Q9" s="22"/>
      <c r="R9" s="22"/>
      <c r="S9" s="22"/>
    </row>
    <row r="10" spans="1:19" x14ac:dyDescent="0.25">
      <c r="A10" t="str">
        <f>المخزون!A9</f>
        <v>Neta X</v>
      </c>
      <c r="B10">
        <f>المخزون!D9</f>
        <v>0</v>
      </c>
      <c r="C10">
        <f>المخزون!F9</f>
        <v>2023</v>
      </c>
      <c r="D10" s="2">
        <v>1000</v>
      </c>
      <c r="E10" s="2">
        <f>المخزون!E9</f>
        <v>15500</v>
      </c>
      <c r="F10" s="2">
        <f t="shared" si="0"/>
        <v>16500</v>
      </c>
      <c r="G10" s="1">
        <f>المخزون!I9</f>
        <v>17300</v>
      </c>
      <c r="H10" s="4">
        <v>0.9</v>
      </c>
      <c r="I10" s="2">
        <f t="shared" si="1"/>
        <v>15570</v>
      </c>
      <c r="J10" s="2">
        <v>1200</v>
      </c>
      <c r="K10">
        <f t="shared" si="2"/>
        <v>16770</v>
      </c>
      <c r="L10" s="3">
        <f t="shared" si="3"/>
        <v>2130</v>
      </c>
      <c r="N10" s="22"/>
      <c r="O10" s="22"/>
      <c r="P10" s="22"/>
      <c r="Q10" s="22"/>
      <c r="R10" s="22"/>
      <c r="S10" s="22"/>
    </row>
    <row r="11" spans="1:19" x14ac:dyDescent="0.25">
      <c r="A11" t="str">
        <f>المخزون!A10</f>
        <v>BYD Yuan Plus</v>
      </c>
      <c r="B11">
        <f>المخزون!D10</f>
        <v>0</v>
      </c>
      <c r="C11">
        <f>المخزون!F10</f>
        <v>2023</v>
      </c>
      <c r="D11" s="2">
        <v>1000</v>
      </c>
      <c r="E11" s="2">
        <f>المخزون!E10</f>
        <v>17800</v>
      </c>
      <c r="F11" s="2">
        <f t="shared" si="0"/>
        <v>18800</v>
      </c>
      <c r="G11" s="1">
        <f>المخزون!I10</f>
        <v>19000</v>
      </c>
      <c r="H11" s="4">
        <v>0.9</v>
      </c>
      <c r="I11" s="2">
        <f t="shared" si="1"/>
        <v>17100</v>
      </c>
      <c r="J11" s="2">
        <v>1200</v>
      </c>
      <c r="K11">
        <f t="shared" si="2"/>
        <v>18300</v>
      </c>
      <c r="L11" s="3">
        <f t="shared" si="3"/>
        <v>2900</v>
      </c>
      <c r="N11" s="22"/>
      <c r="O11" s="22"/>
      <c r="P11" s="22"/>
      <c r="Q11" s="22"/>
      <c r="R11" s="22"/>
      <c r="S11" s="22"/>
    </row>
    <row r="12" spans="1:19" x14ac:dyDescent="0.25">
      <c r="A12" t="str">
        <f>المخزون!A11</f>
        <v>Nammi Box Dong Feng</v>
      </c>
      <c r="B12">
        <f>المخزون!D11</f>
        <v>0</v>
      </c>
      <c r="C12">
        <f>المخزون!F11</f>
        <v>2023</v>
      </c>
      <c r="D12" s="2">
        <v>1000</v>
      </c>
      <c r="E12" s="2">
        <f>المخزون!E11</f>
        <v>12000</v>
      </c>
      <c r="F12" s="2">
        <f t="shared" si="0"/>
        <v>13000</v>
      </c>
      <c r="G12" s="1" t="str">
        <f>المخزون!I11</f>
        <v>Cash Only</v>
      </c>
      <c r="H12" s="4">
        <v>0.9</v>
      </c>
      <c r="I12" s="2" t="e">
        <f t="shared" si="1"/>
        <v>#VALUE!</v>
      </c>
      <c r="J12" s="2">
        <v>1200</v>
      </c>
      <c r="K12" t="e">
        <f t="shared" si="2"/>
        <v>#VALUE!</v>
      </c>
      <c r="L12" s="3" t="e">
        <f t="shared" si="3"/>
        <v>#VALUE!</v>
      </c>
      <c r="N12" s="22"/>
      <c r="O12" s="22"/>
      <c r="P12" s="22"/>
      <c r="Q12" s="22"/>
      <c r="R12" s="22"/>
      <c r="S12" s="22"/>
    </row>
    <row r="13" spans="1:19" x14ac:dyDescent="0.25">
      <c r="A13" t="str">
        <f>المخزون!A12</f>
        <v>E Golf</v>
      </c>
      <c r="B13">
        <f>المخزون!D12</f>
        <v>0</v>
      </c>
      <c r="C13">
        <f>المخزون!F12</f>
        <v>2021</v>
      </c>
      <c r="D13" s="2">
        <v>1000</v>
      </c>
      <c r="E13" s="2">
        <f>المخزون!E12</f>
        <v>12300</v>
      </c>
      <c r="F13" s="2">
        <f t="shared" si="0"/>
        <v>13300</v>
      </c>
      <c r="G13" s="1">
        <f>المخزون!I12</f>
        <v>13000</v>
      </c>
      <c r="H13" s="4">
        <v>0.9</v>
      </c>
      <c r="I13" s="2">
        <f t="shared" si="1"/>
        <v>11700</v>
      </c>
      <c r="J13" s="2">
        <v>1200</v>
      </c>
      <c r="K13">
        <f t="shared" si="2"/>
        <v>12900</v>
      </c>
      <c r="L13" s="3">
        <f t="shared" si="3"/>
        <v>2800</v>
      </c>
      <c r="N13" s="22"/>
      <c r="O13" s="22"/>
      <c r="P13" s="22"/>
      <c r="Q13" s="22"/>
      <c r="R13" s="22"/>
      <c r="S13" s="22"/>
    </row>
    <row r="14" spans="1:19" x14ac:dyDescent="0.25">
      <c r="A14" t="str">
        <f>المخزون!A13</f>
        <v>LaVida</v>
      </c>
      <c r="B14">
        <f>المخزون!D13</f>
        <v>0</v>
      </c>
      <c r="C14">
        <f>المخزون!F13</f>
        <v>2019</v>
      </c>
      <c r="D14" s="2">
        <v>1000</v>
      </c>
      <c r="E14" s="2">
        <f>المخزون!E13</f>
        <v>10700</v>
      </c>
      <c r="F14" s="2">
        <f t="shared" si="0"/>
        <v>11700</v>
      </c>
      <c r="G14" s="1">
        <f>المخزون!I13</f>
        <v>11700</v>
      </c>
      <c r="H14" s="4">
        <v>0.9</v>
      </c>
      <c r="I14" s="2">
        <f t="shared" si="1"/>
        <v>10530</v>
      </c>
      <c r="J14" s="2">
        <v>1200</v>
      </c>
      <c r="K14">
        <f t="shared" si="2"/>
        <v>11730</v>
      </c>
      <c r="L14" s="3">
        <f t="shared" si="3"/>
        <v>2370</v>
      </c>
      <c r="N14" s="22"/>
      <c r="O14" s="22"/>
      <c r="P14" s="22"/>
      <c r="Q14" s="22"/>
      <c r="R14" s="22"/>
      <c r="S14" s="22"/>
    </row>
    <row r="15" spans="1:19" x14ac:dyDescent="0.25">
      <c r="A15" t="str">
        <f>المخزون!A14</f>
        <v>LaVida</v>
      </c>
      <c r="B15">
        <f>المخزون!D14</f>
        <v>0</v>
      </c>
      <c r="C15">
        <f>المخزون!F14</f>
        <v>2021</v>
      </c>
      <c r="D15" s="2">
        <v>1000</v>
      </c>
      <c r="E15" s="2">
        <f>المخزون!E14</f>
        <v>11500</v>
      </c>
      <c r="F15" s="2">
        <f t="shared" si="0"/>
        <v>12500</v>
      </c>
      <c r="G15" s="1">
        <f>المخزون!I14</f>
        <v>13000</v>
      </c>
      <c r="H15" s="4">
        <v>0.9</v>
      </c>
      <c r="I15" s="2">
        <f t="shared" si="1"/>
        <v>11700</v>
      </c>
      <c r="J15" s="2">
        <v>1200</v>
      </c>
      <c r="K15">
        <f t="shared" si="2"/>
        <v>12900</v>
      </c>
      <c r="L15" s="3">
        <f t="shared" si="3"/>
        <v>2000</v>
      </c>
      <c r="N15" s="22"/>
      <c r="O15" s="22"/>
      <c r="P15" s="22"/>
      <c r="Q15" s="22"/>
      <c r="R15" s="22"/>
      <c r="S15" s="22"/>
    </row>
    <row r="16" spans="1:19" x14ac:dyDescent="0.25">
      <c r="A16" t="str">
        <f>المخزون!A15</f>
        <v>Nano</v>
      </c>
      <c r="B16" t="str">
        <f>المخزون!D15</f>
        <v>ZERO</v>
      </c>
      <c r="C16">
        <f>المخزون!F15</f>
        <v>2022</v>
      </c>
      <c r="D16" s="2">
        <v>1000</v>
      </c>
      <c r="E16" s="2">
        <f>المخزون!E15</f>
        <v>8250</v>
      </c>
      <c r="F16" s="2">
        <f t="shared" si="0"/>
        <v>9250</v>
      </c>
      <c r="G16" s="1">
        <f>المخزون!I15</f>
        <v>9000</v>
      </c>
      <c r="H16" s="4">
        <v>0.9</v>
      </c>
      <c r="I16" s="2">
        <f t="shared" si="1"/>
        <v>8100</v>
      </c>
      <c r="J16" s="2">
        <v>1200</v>
      </c>
      <c r="K16">
        <f t="shared" si="2"/>
        <v>9300</v>
      </c>
      <c r="L16" s="3">
        <f t="shared" si="3"/>
        <v>2350</v>
      </c>
      <c r="N16" s="22"/>
      <c r="O16" s="22"/>
      <c r="P16" s="22"/>
      <c r="Q16" s="22"/>
      <c r="R16" s="22"/>
      <c r="S16" s="22"/>
    </row>
    <row r="17" spans="1:19" x14ac:dyDescent="0.25">
      <c r="A17" t="str">
        <f>المخزون!A16</f>
        <v>Honda NS1</v>
      </c>
      <c r="B17" t="str">
        <f>المخزون!D16</f>
        <v>ZERO</v>
      </c>
      <c r="C17">
        <f>المخزون!F16</f>
        <v>2023</v>
      </c>
      <c r="D17" s="2">
        <v>1000</v>
      </c>
      <c r="E17" s="2">
        <f>المخزون!E16</f>
        <v>16700</v>
      </c>
      <c r="F17" s="2">
        <f t="shared" si="0"/>
        <v>17700</v>
      </c>
      <c r="G17" s="1">
        <f>المخزون!I16</f>
        <v>18000</v>
      </c>
      <c r="H17" s="4">
        <v>0.9</v>
      </c>
      <c r="I17" s="2">
        <f t="shared" si="1"/>
        <v>16200</v>
      </c>
      <c r="J17" s="2">
        <v>1200</v>
      </c>
      <c r="K17">
        <f t="shared" si="2"/>
        <v>17400</v>
      </c>
      <c r="L17" s="3">
        <f t="shared" si="3"/>
        <v>2700</v>
      </c>
      <c r="N17" s="22"/>
      <c r="O17" s="22"/>
      <c r="P17" s="22"/>
      <c r="Q17" s="22"/>
      <c r="R17" s="22"/>
      <c r="S17" s="22"/>
    </row>
    <row r="18" spans="1:19" x14ac:dyDescent="0.25">
      <c r="A18" t="str">
        <f>المخزون!A17</f>
        <v>BYD seagall</v>
      </c>
      <c r="B18" t="str">
        <f>المخزون!D17</f>
        <v>ZERO</v>
      </c>
      <c r="C18">
        <f>المخزون!F17</f>
        <v>2024</v>
      </c>
      <c r="D18" s="2">
        <v>1000</v>
      </c>
      <c r="E18" s="2">
        <f>المخزون!E17</f>
        <v>13250</v>
      </c>
      <c r="F18" s="2">
        <f t="shared" si="0"/>
        <v>14250</v>
      </c>
      <c r="G18" s="1">
        <f>المخزون!I17</f>
        <v>14500</v>
      </c>
      <c r="H18" s="4">
        <v>0.9</v>
      </c>
      <c r="I18" s="2">
        <f t="shared" si="1"/>
        <v>13050</v>
      </c>
      <c r="J18" s="2">
        <v>1200</v>
      </c>
      <c r="K18">
        <f t="shared" si="2"/>
        <v>14250</v>
      </c>
      <c r="L18" s="3">
        <f t="shared" si="3"/>
        <v>2400</v>
      </c>
      <c r="N18" s="22"/>
      <c r="O18" s="22"/>
      <c r="P18" s="22"/>
      <c r="Q18" s="22"/>
      <c r="R18" s="22"/>
      <c r="S18" s="22"/>
    </row>
    <row r="19" spans="1:19" x14ac:dyDescent="0.25">
      <c r="A19" t="str">
        <f>المخزون!A18</f>
        <v>toyota BZ3</v>
      </c>
      <c r="B19">
        <f>المخزون!D18</f>
        <v>0</v>
      </c>
      <c r="C19">
        <f>المخزون!F18</f>
        <v>2023</v>
      </c>
      <c r="D19" s="2">
        <v>1000</v>
      </c>
      <c r="E19" s="2">
        <f>المخزون!E18</f>
        <v>18000</v>
      </c>
      <c r="F19" s="2">
        <f t="shared" si="0"/>
        <v>19000</v>
      </c>
      <c r="G19" s="1">
        <f>المخزون!I18</f>
        <v>20000</v>
      </c>
      <c r="H19" s="4">
        <v>0.9</v>
      </c>
      <c r="I19" s="2">
        <f t="shared" si="1"/>
        <v>18000</v>
      </c>
      <c r="J19" s="2">
        <v>1200</v>
      </c>
      <c r="K19">
        <f t="shared" si="2"/>
        <v>19200</v>
      </c>
      <c r="L19" s="3">
        <f t="shared" si="3"/>
        <v>2200</v>
      </c>
      <c r="N19" s="22"/>
      <c r="O19" s="22"/>
      <c r="P19" s="22"/>
      <c r="Q19" s="22"/>
      <c r="R19" s="22"/>
      <c r="S19" s="22"/>
    </row>
    <row r="20" spans="1:19" x14ac:dyDescent="0.25">
      <c r="A20" t="str">
        <f>المخزون!A19</f>
        <v>KIA EV5</v>
      </c>
      <c r="B20" t="str">
        <f>المخزون!D19</f>
        <v>ZERO</v>
      </c>
      <c r="C20">
        <f>المخزون!F19</f>
        <v>2023</v>
      </c>
      <c r="D20" s="2">
        <v>1000</v>
      </c>
      <c r="E20" s="2">
        <f>المخزون!E19</f>
        <v>22000</v>
      </c>
      <c r="F20" s="2">
        <f t="shared" si="0"/>
        <v>23000</v>
      </c>
      <c r="G20" s="1">
        <f>المخزون!I19</f>
        <v>25000</v>
      </c>
      <c r="H20" s="4">
        <v>0.9</v>
      </c>
      <c r="I20" s="2">
        <f t="shared" si="1"/>
        <v>22500</v>
      </c>
      <c r="J20" s="2">
        <v>1200</v>
      </c>
      <c r="K20">
        <f t="shared" si="2"/>
        <v>23700</v>
      </c>
      <c r="L20" s="3">
        <f t="shared" si="3"/>
        <v>1700</v>
      </c>
      <c r="N20" s="22"/>
      <c r="O20" s="22"/>
      <c r="P20" s="22"/>
      <c r="Q20" s="22"/>
      <c r="R20" s="22"/>
      <c r="S20" s="22"/>
    </row>
    <row r="21" spans="1:19" x14ac:dyDescent="0.25">
      <c r="A21" t="str">
        <f>المخزون!A20</f>
        <v>QUIN BYD EV</v>
      </c>
      <c r="B21" t="str">
        <f>المخزون!D20</f>
        <v>ZERO</v>
      </c>
      <c r="C21">
        <f>المخزون!F20</f>
        <v>2023</v>
      </c>
      <c r="D21" s="2">
        <v>1000</v>
      </c>
      <c r="E21" s="2">
        <f>المخزون!E20</f>
        <v>13000</v>
      </c>
      <c r="F21" s="2">
        <f t="shared" si="0"/>
        <v>14000</v>
      </c>
      <c r="G21" s="1">
        <f>المخزون!I20</f>
        <v>14500</v>
      </c>
      <c r="H21" s="4">
        <v>0.9</v>
      </c>
      <c r="I21" s="2">
        <f t="shared" si="1"/>
        <v>13050</v>
      </c>
      <c r="J21" s="2">
        <v>1200</v>
      </c>
      <c r="K21">
        <f t="shared" si="2"/>
        <v>14250</v>
      </c>
      <c r="L21" s="3">
        <f t="shared" si="3"/>
        <v>2150</v>
      </c>
      <c r="N21" s="22"/>
      <c r="O21" s="22"/>
      <c r="P21" s="22"/>
      <c r="Q21" s="22"/>
      <c r="R21" s="22"/>
      <c r="S21" s="22"/>
    </row>
    <row r="22" spans="1:19" x14ac:dyDescent="0.25">
      <c r="A22" t="str">
        <f>المخزون!A21</f>
        <v>BYD E2 20 305</v>
      </c>
      <c r="B22">
        <f>المخزون!D21</f>
        <v>0</v>
      </c>
      <c r="C22">
        <f>المخزون!F21</f>
        <v>2020</v>
      </c>
      <c r="D22" s="2">
        <v>1000</v>
      </c>
      <c r="E22" s="2">
        <f>المخزون!E21</f>
        <v>11300</v>
      </c>
      <c r="F22" s="2">
        <f t="shared" si="0"/>
        <v>12300</v>
      </c>
      <c r="G22" s="1">
        <f>المخزون!I21</f>
        <v>12000</v>
      </c>
      <c r="H22" s="4">
        <v>0.9</v>
      </c>
      <c r="I22" s="2">
        <f t="shared" si="1"/>
        <v>10800</v>
      </c>
      <c r="J22" s="2">
        <v>1200</v>
      </c>
      <c r="K22">
        <f t="shared" si="2"/>
        <v>12000</v>
      </c>
      <c r="L22" s="3">
        <f t="shared" si="3"/>
        <v>2700</v>
      </c>
      <c r="N22" s="22"/>
      <c r="O22" s="22"/>
      <c r="P22" s="22"/>
      <c r="Q22" s="22"/>
      <c r="R22" s="22"/>
      <c r="S22" s="22"/>
    </row>
    <row r="23" spans="1:19" x14ac:dyDescent="0.25">
      <c r="A23" t="str">
        <f>المخزون!A22</f>
        <v xml:space="preserve">BYD QIN + EV </v>
      </c>
      <c r="B23">
        <f>المخزون!D22</f>
        <v>0</v>
      </c>
      <c r="C23">
        <f>المخزون!F22</f>
        <v>2020</v>
      </c>
      <c r="D23" s="2">
        <v>1000</v>
      </c>
      <c r="E23" s="2">
        <f>المخزون!E22</f>
        <v>10350</v>
      </c>
      <c r="F23" s="2">
        <f t="shared" si="0"/>
        <v>11350</v>
      </c>
      <c r="G23" s="1">
        <f>المخزون!I22</f>
        <v>12500</v>
      </c>
      <c r="H23" s="4">
        <v>0.9</v>
      </c>
      <c r="I23" s="2">
        <f t="shared" si="1"/>
        <v>11250</v>
      </c>
      <c r="J23" s="2">
        <v>1200</v>
      </c>
      <c r="K23">
        <f t="shared" si="2"/>
        <v>12450</v>
      </c>
      <c r="L23" s="3">
        <f t="shared" si="3"/>
        <v>1300</v>
      </c>
      <c r="N23" s="22"/>
      <c r="O23" s="22"/>
      <c r="P23" s="22"/>
      <c r="Q23" s="22"/>
      <c r="R23" s="22"/>
      <c r="S23" s="22"/>
    </row>
    <row r="24" spans="1:19" x14ac:dyDescent="0.25">
      <c r="A24" t="str">
        <f>المخزون!A23</f>
        <v>HONGQUI EMQ5</v>
      </c>
      <c r="B24">
        <f>المخزون!D23</f>
        <v>0</v>
      </c>
      <c r="C24">
        <f>المخزون!F23</f>
        <v>2022</v>
      </c>
      <c r="D24" s="2">
        <v>1000</v>
      </c>
      <c r="E24" s="2">
        <f>المخزون!E23</f>
        <v>14250</v>
      </c>
      <c r="F24" s="2">
        <f t="shared" si="0"/>
        <v>15250</v>
      </c>
      <c r="G24" s="1">
        <f>المخزون!I23</f>
        <v>16000</v>
      </c>
      <c r="H24" s="4">
        <v>0.9</v>
      </c>
      <c r="I24" s="2">
        <f t="shared" si="1"/>
        <v>14400</v>
      </c>
      <c r="J24" s="2">
        <v>1200</v>
      </c>
      <c r="K24">
        <f t="shared" si="2"/>
        <v>15600</v>
      </c>
      <c r="L24" s="3">
        <f t="shared" si="3"/>
        <v>2050</v>
      </c>
      <c r="N24" s="22"/>
      <c r="O24" s="22"/>
      <c r="P24" s="22"/>
      <c r="Q24" s="22"/>
      <c r="R24" s="22"/>
      <c r="S24" s="22"/>
    </row>
    <row r="25" spans="1:19" x14ac:dyDescent="0.25">
      <c r="A25" t="str">
        <f>المخزون!A24</f>
        <v>LEAP T03</v>
      </c>
      <c r="B25" t="str">
        <f>المخزون!D24</f>
        <v>ZERO</v>
      </c>
      <c r="C25">
        <f>المخزون!F24</f>
        <v>2024</v>
      </c>
      <c r="D25" s="2">
        <v>1000</v>
      </c>
      <c r="E25" s="2">
        <f>المخزون!E24</f>
        <v>9500</v>
      </c>
      <c r="F25" s="2">
        <f t="shared" si="0"/>
        <v>10500</v>
      </c>
      <c r="G25" s="1">
        <f>المخزون!I24</f>
        <v>11000</v>
      </c>
      <c r="H25" s="4">
        <v>0.9</v>
      </c>
      <c r="I25" s="2">
        <f t="shared" si="1"/>
        <v>9900</v>
      </c>
      <c r="J25" s="2">
        <v>1200</v>
      </c>
      <c r="K25">
        <f t="shared" si="2"/>
        <v>11100</v>
      </c>
      <c r="L25" s="3">
        <f t="shared" si="3"/>
        <v>1800</v>
      </c>
      <c r="N25" s="22"/>
      <c r="O25" s="22"/>
      <c r="P25" s="22"/>
      <c r="Q25" s="22"/>
      <c r="R25" s="22"/>
      <c r="S25" s="22"/>
    </row>
    <row r="26" spans="1:19" x14ac:dyDescent="0.25">
      <c r="A26" t="str">
        <f>المخزون!A25</f>
        <v>FORTHING S60</v>
      </c>
      <c r="B26" t="str">
        <f>المخزون!D25</f>
        <v>ZERO</v>
      </c>
      <c r="C26">
        <f>المخزون!F25</f>
        <v>2023</v>
      </c>
      <c r="D26" s="2">
        <v>1000</v>
      </c>
      <c r="E26" s="2">
        <f>المخزون!E25</f>
        <v>13200</v>
      </c>
      <c r="F26" s="2">
        <f t="shared" si="0"/>
        <v>14200</v>
      </c>
      <c r="G26" s="1">
        <f>المخزون!I25</f>
        <v>15000</v>
      </c>
      <c r="H26" s="4">
        <v>0.9</v>
      </c>
      <c r="I26" s="2">
        <f t="shared" si="1"/>
        <v>13500</v>
      </c>
      <c r="J26" s="2">
        <v>1200</v>
      </c>
      <c r="K26">
        <f t="shared" si="2"/>
        <v>14700</v>
      </c>
      <c r="L26" s="3">
        <f t="shared" si="3"/>
        <v>1900</v>
      </c>
    </row>
    <row r="27" spans="1:19" x14ac:dyDescent="0.25">
      <c r="A27" t="str">
        <f>المخزون!A26</f>
        <v xml:space="preserve">NANO </v>
      </c>
      <c r="B27" t="str">
        <f>المخزون!D26</f>
        <v>ZERO</v>
      </c>
      <c r="C27">
        <f>المخزون!F26</f>
        <v>2022</v>
      </c>
      <c r="D27" s="2">
        <v>1000</v>
      </c>
      <c r="E27" s="2">
        <f>المخزون!E26</f>
        <v>8700</v>
      </c>
      <c r="F27" s="2">
        <f t="shared" si="0"/>
        <v>9700</v>
      </c>
      <c r="G27" s="1">
        <f>المخزون!I26</f>
        <v>10500</v>
      </c>
      <c r="H27" s="4">
        <v>0.9</v>
      </c>
      <c r="I27" s="2">
        <f t="shared" si="1"/>
        <v>9450</v>
      </c>
      <c r="J27" s="2">
        <v>1200</v>
      </c>
      <c r="K27">
        <f t="shared" si="2"/>
        <v>10650</v>
      </c>
      <c r="L27" s="3">
        <f t="shared" si="3"/>
        <v>1450</v>
      </c>
    </row>
    <row r="28" spans="1:19" x14ac:dyDescent="0.25">
      <c r="A28" t="str">
        <f>المخزون!A27</f>
        <v>LEAP T03</v>
      </c>
      <c r="B28">
        <f>المخزون!D27</f>
        <v>0</v>
      </c>
      <c r="C28">
        <f>المخزون!F27</f>
        <v>2022</v>
      </c>
      <c r="D28" s="2">
        <v>1000</v>
      </c>
      <c r="E28" s="2">
        <f>المخزون!E27</f>
        <v>7700</v>
      </c>
      <c r="F28" s="2">
        <f t="shared" si="0"/>
        <v>8700</v>
      </c>
      <c r="G28" s="1">
        <f>المخزون!I27</f>
        <v>0</v>
      </c>
      <c r="H28" s="4">
        <v>0.9</v>
      </c>
      <c r="I28" s="2">
        <f t="shared" si="1"/>
        <v>0</v>
      </c>
      <c r="J28" s="2">
        <v>1200</v>
      </c>
      <c r="K28">
        <f t="shared" si="2"/>
        <v>1200</v>
      </c>
      <c r="L28" s="3">
        <f t="shared" si="3"/>
        <v>9900</v>
      </c>
    </row>
    <row r="29" spans="1:19" x14ac:dyDescent="0.25">
      <c r="A29" t="str">
        <f>المخزون!A28</f>
        <v>Nissan Sylphi</v>
      </c>
      <c r="B29">
        <f>المخزون!D28</f>
        <v>0</v>
      </c>
      <c r="C29">
        <f>المخزون!F28</f>
        <v>2019</v>
      </c>
      <c r="D29" s="2">
        <v>1000</v>
      </c>
      <c r="E29" s="2">
        <f>المخزون!E28</f>
        <v>8700</v>
      </c>
      <c r="F29" s="2">
        <f t="shared" si="0"/>
        <v>9700</v>
      </c>
      <c r="G29" s="1">
        <f>المخزون!I28</f>
        <v>12000</v>
      </c>
      <c r="H29" s="4">
        <v>0.9</v>
      </c>
      <c r="I29" s="2">
        <f t="shared" si="1"/>
        <v>10800</v>
      </c>
      <c r="J29" s="2">
        <v>1200</v>
      </c>
      <c r="K29">
        <f t="shared" si="2"/>
        <v>12000</v>
      </c>
      <c r="L29" s="3">
        <f t="shared" si="3"/>
        <v>100</v>
      </c>
    </row>
    <row r="30" spans="1:19" ht="15.75" customHeight="1" x14ac:dyDescent="0.25">
      <c r="A30" t="str">
        <f>المخزون!A29</f>
        <v>Dong Feng Mage</v>
      </c>
      <c r="B30" t="str">
        <f>المخزون!D29</f>
        <v>ZERO</v>
      </c>
      <c r="C30">
        <f>المخزون!F29</f>
        <v>2026</v>
      </c>
      <c r="D30" s="2">
        <v>1000</v>
      </c>
      <c r="E30" s="2">
        <f>المخزون!E29</f>
        <v>0</v>
      </c>
      <c r="F30" s="2">
        <f t="shared" si="0"/>
        <v>1000</v>
      </c>
      <c r="G30" s="1">
        <f>المخزون!I29</f>
        <v>0</v>
      </c>
      <c r="H30" s="4">
        <v>0.9</v>
      </c>
      <c r="I30" s="2">
        <f t="shared" si="1"/>
        <v>0</v>
      </c>
      <c r="J30" s="2">
        <v>1200</v>
      </c>
      <c r="K30">
        <f t="shared" si="2"/>
        <v>1200</v>
      </c>
      <c r="L30" s="3">
        <f t="shared" si="3"/>
        <v>2200</v>
      </c>
    </row>
    <row r="31" spans="1:19" x14ac:dyDescent="0.25">
      <c r="A31" t="str">
        <f>المخزون!A30</f>
        <v>BYD SONG plus</v>
      </c>
      <c r="B31" t="str">
        <f>المخزون!D30</f>
        <v>ZERO</v>
      </c>
      <c r="C31">
        <f>المخزون!F30</f>
        <v>2024</v>
      </c>
      <c r="D31" s="2">
        <v>1000</v>
      </c>
      <c r="E31" s="2">
        <f>المخزون!E30</f>
        <v>24250</v>
      </c>
      <c r="F31" s="2">
        <f t="shared" si="0"/>
        <v>25250</v>
      </c>
      <c r="G31" s="1">
        <f>المخزون!I30</f>
        <v>0</v>
      </c>
      <c r="H31" s="4">
        <v>0.9</v>
      </c>
      <c r="I31" s="2">
        <f t="shared" si="1"/>
        <v>0</v>
      </c>
      <c r="J31" s="2">
        <v>1200</v>
      </c>
      <c r="K31">
        <f t="shared" si="2"/>
        <v>1200</v>
      </c>
      <c r="L31" s="3">
        <f t="shared" si="3"/>
        <v>26450</v>
      </c>
    </row>
    <row r="32" spans="1:19" x14ac:dyDescent="0.25">
      <c r="A32" t="str">
        <f>المخزون!A31</f>
        <v>Toyota BZ4</v>
      </c>
      <c r="B32">
        <f>المخزون!D31</f>
        <v>0</v>
      </c>
      <c r="C32">
        <f>المخزون!F31</f>
        <v>2022</v>
      </c>
      <c r="D32" s="2">
        <v>1000</v>
      </c>
      <c r="E32" s="2">
        <f>المخزون!E31</f>
        <v>22000</v>
      </c>
      <c r="F32" s="2">
        <f t="shared" si="0"/>
        <v>23000</v>
      </c>
      <c r="G32" s="1">
        <f>المخزون!I31</f>
        <v>0</v>
      </c>
      <c r="H32" s="4">
        <v>0.9</v>
      </c>
      <c r="I32" s="2">
        <f t="shared" si="1"/>
        <v>0</v>
      </c>
      <c r="J32" s="2">
        <v>1200</v>
      </c>
      <c r="K32">
        <f t="shared" si="2"/>
        <v>1200</v>
      </c>
      <c r="L32" s="3">
        <f t="shared" si="3"/>
        <v>24200</v>
      </c>
    </row>
    <row r="33" spans="1:12" x14ac:dyDescent="0.25">
      <c r="A33" t="str">
        <f>المخزون!A32</f>
        <v>Changan Eado</v>
      </c>
      <c r="B33" t="str">
        <f>المخزون!D32</f>
        <v>ZERO</v>
      </c>
      <c r="C33">
        <f>المخزون!F32</f>
        <v>2026</v>
      </c>
      <c r="D33" s="2">
        <v>1000</v>
      </c>
      <c r="E33" s="2">
        <f>المخزون!E32</f>
        <v>17500</v>
      </c>
      <c r="F33" s="2">
        <f t="shared" si="0"/>
        <v>18500</v>
      </c>
      <c r="G33" s="1" t="str">
        <f>المخزون!I32</f>
        <v>Cash Only</v>
      </c>
      <c r="H33" s="4">
        <v>0.9</v>
      </c>
      <c r="I33" s="2" t="e">
        <f t="shared" si="1"/>
        <v>#VALUE!</v>
      </c>
      <c r="J33" s="2">
        <v>1200</v>
      </c>
      <c r="K33" t="e">
        <f t="shared" si="2"/>
        <v>#VALUE!</v>
      </c>
      <c r="L33" s="3" t="e">
        <f t="shared" si="3"/>
        <v>#VALUE!</v>
      </c>
    </row>
    <row r="34" spans="1:12" x14ac:dyDescent="0.25">
      <c r="A34" t="str">
        <f>المخزون!A33</f>
        <v>Changan Eado</v>
      </c>
      <c r="B34" t="str">
        <f>المخزون!D33</f>
        <v>ZERO</v>
      </c>
      <c r="C34">
        <f>المخزون!F33</f>
        <v>2026</v>
      </c>
      <c r="D34" s="2">
        <v>1000</v>
      </c>
      <c r="E34" s="2">
        <f>المخزون!E33</f>
        <v>16500</v>
      </c>
      <c r="F34" s="2">
        <f t="shared" si="0"/>
        <v>17500</v>
      </c>
      <c r="G34" s="1" t="str">
        <f>المخزون!I33</f>
        <v>Cash Only</v>
      </c>
      <c r="H34" s="4">
        <v>0.9</v>
      </c>
      <c r="I34" s="2" t="e">
        <f t="shared" si="1"/>
        <v>#VALUE!</v>
      </c>
      <c r="J34" s="2">
        <v>1200</v>
      </c>
      <c r="K34" t="e">
        <f t="shared" si="2"/>
        <v>#VALUE!</v>
      </c>
      <c r="L34" s="3" t="e">
        <f t="shared" si="3"/>
        <v>#VALUE!</v>
      </c>
    </row>
    <row r="35" spans="1:12" x14ac:dyDescent="0.25">
      <c r="A35" t="str">
        <f>المخزون!A34</f>
        <v>Changan Eado</v>
      </c>
      <c r="B35" t="str">
        <f>المخزون!D34</f>
        <v>ZERO</v>
      </c>
      <c r="C35">
        <f>المخزون!F34</f>
        <v>2023</v>
      </c>
      <c r="D35" s="2">
        <v>1000</v>
      </c>
      <c r="E35" s="2">
        <f>المخزون!E34</f>
        <v>14500</v>
      </c>
      <c r="F35" s="2">
        <f t="shared" si="0"/>
        <v>15500</v>
      </c>
      <c r="G35" s="1" t="str">
        <f>المخزون!I34</f>
        <v>Cash Only</v>
      </c>
      <c r="H35" s="4">
        <v>0.9</v>
      </c>
      <c r="I35" s="2" t="e">
        <f t="shared" si="1"/>
        <v>#VALUE!</v>
      </c>
      <c r="J35" s="2">
        <v>1200</v>
      </c>
      <c r="K35" t="e">
        <f t="shared" si="2"/>
        <v>#VALUE!</v>
      </c>
      <c r="L35" s="3" t="e">
        <f t="shared" si="3"/>
        <v>#VALUE!</v>
      </c>
    </row>
    <row r="36" spans="1:12" x14ac:dyDescent="0.25">
      <c r="A36" t="str">
        <f>المخزون!A35</f>
        <v>Changan Eado</v>
      </c>
      <c r="B36" t="str">
        <f>المخزون!D35</f>
        <v>ZERO</v>
      </c>
      <c r="C36">
        <f>المخزون!F35</f>
        <v>2022</v>
      </c>
      <c r="D36" s="2">
        <v>1000</v>
      </c>
      <c r="E36" s="2">
        <f>المخزون!E35</f>
        <v>13000</v>
      </c>
      <c r="F36" s="2">
        <f t="shared" si="0"/>
        <v>14000</v>
      </c>
      <c r="G36" s="1" t="str">
        <f>المخزون!I35</f>
        <v>Cash Only</v>
      </c>
      <c r="H36" s="4">
        <v>0.9</v>
      </c>
      <c r="I36" s="2" t="e">
        <f t="shared" si="1"/>
        <v>#VALUE!</v>
      </c>
      <c r="J36" s="2">
        <v>1200</v>
      </c>
      <c r="K36" t="e">
        <f t="shared" si="2"/>
        <v>#VALUE!</v>
      </c>
      <c r="L36" s="3" t="e">
        <f t="shared" si="3"/>
        <v>#VALUE!</v>
      </c>
    </row>
    <row r="37" spans="1:12" x14ac:dyDescent="0.25">
      <c r="A37" t="str">
        <f>المخزون!A36</f>
        <v>Song pro</v>
      </c>
      <c r="B37" t="str">
        <f>المخزون!D36</f>
        <v>ZERO</v>
      </c>
      <c r="C37">
        <f>المخزون!F36</f>
        <v>2025</v>
      </c>
      <c r="D37" s="2">
        <v>1000</v>
      </c>
      <c r="E37" s="2">
        <f>المخزون!E36</f>
        <v>22000</v>
      </c>
      <c r="F37" s="2">
        <f t="shared" si="0"/>
        <v>23000</v>
      </c>
      <c r="G37" s="1">
        <f>المخزون!I36</f>
        <v>0</v>
      </c>
      <c r="H37" s="4">
        <v>0.9</v>
      </c>
      <c r="I37" s="2">
        <f t="shared" si="1"/>
        <v>0</v>
      </c>
      <c r="J37" s="2">
        <v>1200</v>
      </c>
      <c r="K37">
        <f t="shared" si="2"/>
        <v>1200</v>
      </c>
      <c r="L37" s="3">
        <f t="shared" si="3"/>
        <v>24200</v>
      </c>
    </row>
    <row r="38" spans="1:12" x14ac:dyDescent="0.25">
      <c r="A38" t="str">
        <f>المخزون!A37</f>
        <v>BYD QUIN L</v>
      </c>
      <c r="B38" t="str">
        <f>المخزون!D37</f>
        <v>ZERO</v>
      </c>
      <c r="C38">
        <f>المخزون!F37</f>
        <v>2025</v>
      </c>
      <c r="D38" s="2">
        <v>1000</v>
      </c>
      <c r="E38" s="2">
        <f>المخزون!E37</f>
        <v>0</v>
      </c>
      <c r="F38" s="2">
        <f t="shared" si="0"/>
        <v>1000</v>
      </c>
      <c r="G38" s="1">
        <f>المخزون!I37</f>
        <v>0</v>
      </c>
      <c r="H38" s="4">
        <v>0.9</v>
      </c>
      <c r="I38" s="2">
        <f t="shared" si="1"/>
        <v>0</v>
      </c>
      <c r="J38" s="2">
        <v>1200</v>
      </c>
      <c r="K38">
        <f t="shared" si="2"/>
        <v>1200</v>
      </c>
      <c r="L38" s="3">
        <f t="shared" si="3"/>
        <v>2200</v>
      </c>
    </row>
    <row r="39" spans="1:12" x14ac:dyDescent="0.25">
      <c r="A39">
        <f>المخزون!A38</f>
        <v>0</v>
      </c>
      <c r="B39">
        <f>المخزون!D38</f>
        <v>0</v>
      </c>
      <c r="C39">
        <f>المخزون!F38</f>
        <v>0</v>
      </c>
      <c r="D39" s="2">
        <v>1000</v>
      </c>
      <c r="E39" s="2">
        <f>المخزون!E38</f>
        <v>0</v>
      </c>
      <c r="F39" s="2">
        <f t="shared" si="0"/>
        <v>1000</v>
      </c>
      <c r="G39" s="1">
        <f>المخزون!I38</f>
        <v>0</v>
      </c>
      <c r="H39" s="4">
        <v>0.9</v>
      </c>
      <c r="I39" s="2">
        <f t="shared" si="1"/>
        <v>0</v>
      </c>
      <c r="J39" s="2">
        <v>1200</v>
      </c>
      <c r="K39">
        <f t="shared" si="2"/>
        <v>1200</v>
      </c>
      <c r="L39" s="3">
        <f t="shared" si="3"/>
        <v>2200</v>
      </c>
    </row>
    <row r="40" spans="1:12" x14ac:dyDescent="0.25">
      <c r="A40">
        <f>المخزون!A39</f>
        <v>0</v>
      </c>
      <c r="B40">
        <f>المخزون!D39</f>
        <v>0</v>
      </c>
      <c r="C40">
        <f>المخزون!F39</f>
        <v>0</v>
      </c>
      <c r="D40" s="2">
        <v>1000</v>
      </c>
      <c r="E40" s="2">
        <f>المخزون!E39</f>
        <v>0</v>
      </c>
      <c r="F40" s="2">
        <f t="shared" si="0"/>
        <v>1000</v>
      </c>
      <c r="G40" s="1">
        <f>المخزون!I39</f>
        <v>0</v>
      </c>
      <c r="H40" s="4">
        <v>0.9</v>
      </c>
      <c r="I40" s="2">
        <f t="shared" si="1"/>
        <v>0</v>
      </c>
      <c r="J40" s="2">
        <v>1200</v>
      </c>
      <c r="K40">
        <f t="shared" si="2"/>
        <v>1200</v>
      </c>
      <c r="L40" s="3">
        <f t="shared" si="3"/>
        <v>2200</v>
      </c>
    </row>
    <row r="41" spans="1:12" x14ac:dyDescent="0.25">
      <c r="A41">
        <f>المخزون!A40</f>
        <v>0</v>
      </c>
      <c r="B41">
        <f>المخزون!D40</f>
        <v>0</v>
      </c>
      <c r="C41">
        <f>المخزون!F30</f>
        <v>2024</v>
      </c>
      <c r="D41" s="2">
        <v>1000</v>
      </c>
      <c r="E41" s="2">
        <f>المخزون!E40</f>
        <v>0</v>
      </c>
      <c r="F41" s="2">
        <f t="shared" si="0"/>
        <v>1000</v>
      </c>
      <c r="G41" s="1">
        <f>المخزون!I40</f>
        <v>0</v>
      </c>
      <c r="H41" s="4">
        <v>0.9</v>
      </c>
      <c r="I41" s="2">
        <f t="shared" si="1"/>
        <v>0</v>
      </c>
      <c r="J41" s="2">
        <v>1200</v>
      </c>
      <c r="K41">
        <f t="shared" si="2"/>
        <v>1200</v>
      </c>
      <c r="L41" s="3">
        <f t="shared" si="3"/>
        <v>2200</v>
      </c>
    </row>
    <row r="42" spans="1:12" x14ac:dyDescent="0.25">
      <c r="A42">
        <f>المخزون!A41</f>
        <v>0</v>
      </c>
      <c r="B42">
        <f>المخزون!D41</f>
        <v>0</v>
      </c>
      <c r="C42">
        <f>المخزون!F31</f>
        <v>2022</v>
      </c>
      <c r="D42" s="2">
        <v>1000</v>
      </c>
      <c r="E42" s="2">
        <f>المخزون!E41</f>
        <v>0</v>
      </c>
      <c r="F42" s="2">
        <f t="shared" si="0"/>
        <v>1000</v>
      </c>
      <c r="G42" s="1">
        <f>المخزون!I41</f>
        <v>0</v>
      </c>
      <c r="H42" s="4">
        <v>0.9</v>
      </c>
      <c r="I42" s="2">
        <f t="shared" si="1"/>
        <v>0</v>
      </c>
      <c r="J42" s="2">
        <v>1200</v>
      </c>
      <c r="K42">
        <f t="shared" si="2"/>
        <v>1200</v>
      </c>
      <c r="L42" s="3">
        <f t="shared" si="3"/>
        <v>2200</v>
      </c>
    </row>
    <row r="43" spans="1:12" x14ac:dyDescent="0.25">
      <c r="A43">
        <f>المخزون!A42</f>
        <v>0</v>
      </c>
      <c r="B43">
        <f>المخزون!D42</f>
        <v>0</v>
      </c>
      <c r="C43">
        <f>المخزون!F32</f>
        <v>2026</v>
      </c>
      <c r="D43" s="2">
        <v>1000</v>
      </c>
      <c r="E43" s="2">
        <f>المخزون!E42</f>
        <v>0</v>
      </c>
      <c r="F43" s="2">
        <f t="shared" si="0"/>
        <v>1000</v>
      </c>
      <c r="G43" s="1">
        <f>المخزون!I42</f>
        <v>0</v>
      </c>
      <c r="H43" s="4">
        <v>0.9</v>
      </c>
      <c r="I43" s="2">
        <f t="shared" si="1"/>
        <v>0</v>
      </c>
      <c r="J43" s="2">
        <v>1200</v>
      </c>
      <c r="K43">
        <f t="shared" si="2"/>
        <v>1200</v>
      </c>
      <c r="L43" s="3">
        <f t="shared" si="3"/>
        <v>2200</v>
      </c>
    </row>
    <row r="44" spans="1:12" x14ac:dyDescent="0.25">
      <c r="A44">
        <f>المخزون!A43</f>
        <v>0</v>
      </c>
      <c r="B44">
        <f>المخزون!D43</f>
        <v>0</v>
      </c>
      <c r="C44">
        <f>المخزون!F33</f>
        <v>2026</v>
      </c>
      <c r="D44" s="2">
        <v>1000</v>
      </c>
      <c r="E44" s="2">
        <f>المخزون!E43</f>
        <v>0</v>
      </c>
      <c r="F44" s="2">
        <f t="shared" si="0"/>
        <v>1000</v>
      </c>
      <c r="G44" s="1">
        <f>المخزون!I43</f>
        <v>0</v>
      </c>
      <c r="H44" s="4">
        <v>0.9</v>
      </c>
      <c r="I44" s="2">
        <f t="shared" si="1"/>
        <v>0</v>
      </c>
      <c r="J44" s="2">
        <v>1200</v>
      </c>
      <c r="K44">
        <f t="shared" si="2"/>
        <v>1200</v>
      </c>
      <c r="L44" s="3">
        <f t="shared" si="3"/>
        <v>2200</v>
      </c>
    </row>
    <row r="45" spans="1:12" x14ac:dyDescent="0.25">
      <c r="A45">
        <f>المخزون!A44</f>
        <v>0</v>
      </c>
      <c r="B45">
        <f>المخزون!D44</f>
        <v>0</v>
      </c>
      <c r="C45">
        <f>المخزون!F34</f>
        <v>2023</v>
      </c>
      <c r="D45" s="2">
        <v>1000</v>
      </c>
      <c r="E45" s="2">
        <f>المخزون!E44</f>
        <v>0</v>
      </c>
      <c r="F45" s="2">
        <f t="shared" si="0"/>
        <v>1000</v>
      </c>
      <c r="G45" s="1">
        <f>المخزون!I44</f>
        <v>0</v>
      </c>
      <c r="H45" s="4">
        <v>0.9</v>
      </c>
      <c r="I45" s="2">
        <f t="shared" si="1"/>
        <v>0</v>
      </c>
      <c r="J45" s="2">
        <v>1200</v>
      </c>
      <c r="K45">
        <f t="shared" si="2"/>
        <v>1200</v>
      </c>
      <c r="L45" s="3">
        <f t="shared" si="3"/>
        <v>2200</v>
      </c>
    </row>
    <row r="46" spans="1:12" x14ac:dyDescent="0.25">
      <c r="A46">
        <f>المخزون!A45</f>
        <v>0</v>
      </c>
      <c r="B46">
        <f>المخزون!D45</f>
        <v>0</v>
      </c>
      <c r="C46">
        <f>المخزون!F35</f>
        <v>2022</v>
      </c>
      <c r="D46" s="2">
        <v>1000</v>
      </c>
      <c r="E46" s="2">
        <f>المخزون!E45</f>
        <v>0</v>
      </c>
      <c r="F46" s="2">
        <f t="shared" si="0"/>
        <v>1000</v>
      </c>
      <c r="G46" s="1">
        <f>المخزون!I45</f>
        <v>0</v>
      </c>
      <c r="H46" s="4">
        <v>0.9</v>
      </c>
      <c r="I46" s="2">
        <f t="shared" si="1"/>
        <v>0</v>
      </c>
      <c r="J46" s="2">
        <v>1200</v>
      </c>
      <c r="K46">
        <f t="shared" si="2"/>
        <v>1200</v>
      </c>
      <c r="L46" s="3">
        <f t="shared" si="3"/>
        <v>2200</v>
      </c>
    </row>
    <row r="47" spans="1:12" x14ac:dyDescent="0.25">
      <c r="A47">
        <f>المخزون!A46</f>
        <v>0</v>
      </c>
      <c r="B47">
        <f>المخزون!D46</f>
        <v>0</v>
      </c>
      <c r="C47">
        <f>المخزون!F36</f>
        <v>2025</v>
      </c>
      <c r="D47" s="2">
        <v>1000</v>
      </c>
      <c r="E47" s="2">
        <f>المخزون!E46</f>
        <v>0</v>
      </c>
      <c r="F47" s="2">
        <f t="shared" si="0"/>
        <v>1000</v>
      </c>
      <c r="G47" s="1">
        <f>المخزون!I46</f>
        <v>0</v>
      </c>
      <c r="H47" s="4">
        <v>0.9</v>
      </c>
      <c r="I47" s="2">
        <f t="shared" si="1"/>
        <v>0</v>
      </c>
      <c r="J47" s="2">
        <v>1200</v>
      </c>
      <c r="K47">
        <f t="shared" si="2"/>
        <v>1200</v>
      </c>
      <c r="L47" s="3">
        <f t="shared" si="3"/>
        <v>2200</v>
      </c>
    </row>
    <row r="48" spans="1:12" x14ac:dyDescent="0.25">
      <c r="A48">
        <f>المخزون!A47</f>
        <v>0</v>
      </c>
      <c r="B48">
        <f>المخزون!D47</f>
        <v>0</v>
      </c>
      <c r="C48">
        <f>المخزون!F37</f>
        <v>2025</v>
      </c>
      <c r="D48" s="2">
        <v>1000</v>
      </c>
      <c r="E48" s="2">
        <f>المخزون!E47</f>
        <v>0</v>
      </c>
      <c r="F48" s="2">
        <f t="shared" si="0"/>
        <v>1000</v>
      </c>
      <c r="G48" s="1">
        <f>المخزون!I47</f>
        <v>0</v>
      </c>
      <c r="H48" s="4">
        <v>0.9</v>
      </c>
      <c r="I48" s="2">
        <f t="shared" si="1"/>
        <v>0</v>
      </c>
      <c r="J48" s="2">
        <v>1200</v>
      </c>
      <c r="K48">
        <f t="shared" si="2"/>
        <v>1200</v>
      </c>
      <c r="L48" s="3">
        <f t="shared" ref="L48:L61" si="4">(F48+J48)-I48</f>
        <v>2200</v>
      </c>
    </row>
    <row r="49" spans="1:12" x14ac:dyDescent="0.25">
      <c r="A49">
        <f>المخزون!A48</f>
        <v>0</v>
      </c>
      <c r="B49">
        <f>المخزون!D48</f>
        <v>0</v>
      </c>
      <c r="C49">
        <f>المخزون!F38</f>
        <v>0</v>
      </c>
      <c r="D49" s="2">
        <v>1000</v>
      </c>
      <c r="E49" s="2">
        <f>المخزون!E48</f>
        <v>0</v>
      </c>
      <c r="F49" s="2">
        <f t="shared" si="0"/>
        <v>1000</v>
      </c>
      <c r="G49" s="1">
        <f>المخزون!I48</f>
        <v>0</v>
      </c>
      <c r="H49" s="4">
        <v>0.9</v>
      </c>
      <c r="I49" s="2">
        <f t="shared" si="1"/>
        <v>0</v>
      </c>
      <c r="J49" s="2">
        <v>1200</v>
      </c>
      <c r="K49">
        <f t="shared" si="2"/>
        <v>1200</v>
      </c>
      <c r="L49" s="3">
        <f t="shared" si="4"/>
        <v>2200</v>
      </c>
    </row>
    <row r="50" spans="1:12" x14ac:dyDescent="0.25">
      <c r="A50">
        <f>المخزون!A49</f>
        <v>0</v>
      </c>
      <c r="B50">
        <f>المخزون!D49</f>
        <v>0</v>
      </c>
      <c r="C50">
        <f>المخزون!F39</f>
        <v>0</v>
      </c>
      <c r="D50" s="2">
        <v>1000</v>
      </c>
      <c r="E50" s="2">
        <f>المخزون!E49</f>
        <v>0</v>
      </c>
      <c r="F50" s="2">
        <f t="shared" si="0"/>
        <v>1000</v>
      </c>
      <c r="G50" s="1">
        <f>المخزون!I49</f>
        <v>0</v>
      </c>
      <c r="H50" s="4">
        <v>0.9</v>
      </c>
      <c r="I50" s="2">
        <f t="shared" si="1"/>
        <v>0</v>
      </c>
      <c r="J50" s="2">
        <v>1200</v>
      </c>
      <c r="K50">
        <f t="shared" si="2"/>
        <v>1200</v>
      </c>
      <c r="L50" s="3">
        <f t="shared" si="4"/>
        <v>2200</v>
      </c>
    </row>
    <row r="51" spans="1:12" x14ac:dyDescent="0.25">
      <c r="A51">
        <f>المخزون!A50</f>
        <v>0</v>
      </c>
      <c r="B51">
        <f>المخزون!D50</f>
        <v>0</v>
      </c>
      <c r="C51">
        <f>المخزون!F40</f>
        <v>0</v>
      </c>
      <c r="D51" s="2">
        <v>1000</v>
      </c>
      <c r="E51" s="2">
        <f>المخزون!E50</f>
        <v>0</v>
      </c>
      <c r="F51" s="2">
        <f t="shared" si="0"/>
        <v>1000</v>
      </c>
      <c r="G51" s="1">
        <f>المخزون!I50</f>
        <v>0</v>
      </c>
      <c r="H51" s="4">
        <v>0.9</v>
      </c>
      <c r="I51" s="2">
        <f t="shared" si="1"/>
        <v>0</v>
      </c>
      <c r="J51" s="2">
        <v>1200</v>
      </c>
      <c r="K51">
        <f t="shared" si="2"/>
        <v>1200</v>
      </c>
      <c r="L51" s="3">
        <f t="shared" si="4"/>
        <v>2200</v>
      </c>
    </row>
    <row r="52" spans="1:12" x14ac:dyDescent="0.25">
      <c r="A52">
        <f>المخزون!A51</f>
        <v>0</v>
      </c>
      <c r="B52">
        <f>المخزون!D51</f>
        <v>0</v>
      </c>
      <c r="C52">
        <f>المخزون!F41</f>
        <v>0</v>
      </c>
      <c r="D52" s="2">
        <v>1000</v>
      </c>
      <c r="E52" s="2">
        <f>المخزون!E51</f>
        <v>0</v>
      </c>
      <c r="F52" s="2">
        <f t="shared" si="0"/>
        <v>1000</v>
      </c>
      <c r="G52" s="1">
        <f>المخزون!I51</f>
        <v>0</v>
      </c>
      <c r="H52" s="4">
        <v>0.9</v>
      </c>
      <c r="I52" s="2">
        <f t="shared" si="1"/>
        <v>0</v>
      </c>
      <c r="J52" s="2">
        <v>1200</v>
      </c>
      <c r="K52">
        <f t="shared" si="2"/>
        <v>1200</v>
      </c>
      <c r="L52" s="3">
        <f t="shared" si="4"/>
        <v>2200</v>
      </c>
    </row>
    <row r="53" spans="1:12" x14ac:dyDescent="0.25">
      <c r="A53">
        <f>المخزون!A52</f>
        <v>0</v>
      </c>
      <c r="B53">
        <f>المخزون!D52</f>
        <v>0</v>
      </c>
      <c r="C53">
        <f>المخزون!F42</f>
        <v>0</v>
      </c>
      <c r="D53" s="2">
        <v>1000</v>
      </c>
      <c r="E53" s="2">
        <f>المخزون!E52</f>
        <v>0</v>
      </c>
      <c r="F53" s="2">
        <f t="shared" si="0"/>
        <v>1000</v>
      </c>
      <c r="G53" s="1">
        <f>المخزون!I52</f>
        <v>0</v>
      </c>
      <c r="H53" s="4">
        <v>0.9</v>
      </c>
      <c r="I53" s="2">
        <f t="shared" si="1"/>
        <v>0</v>
      </c>
      <c r="J53" s="2">
        <v>1200</v>
      </c>
      <c r="K53">
        <f t="shared" si="2"/>
        <v>1200</v>
      </c>
      <c r="L53" s="3">
        <f t="shared" si="4"/>
        <v>2200</v>
      </c>
    </row>
    <row r="54" spans="1:12" x14ac:dyDescent="0.25">
      <c r="A54">
        <f>المخزون!A53</f>
        <v>0</v>
      </c>
      <c r="B54">
        <f>المخزون!D53</f>
        <v>0</v>
      </c>
      <c r="C54">
        <f>المخزون!F43</f>
        <v>0</v>
      </c>
      <c r="D54" s="2">
        <v>1000</v>
      </c>
      <c r="E54" s="2">
        <f>المخزون!E53</f>
        <v>0</v>
      </c>
      <c r="F54" s="2">
        <f t="shared" si="0"/>
        <v>1000</v>
      </c>
      <c r="G54" s="1">
        <f>المخزون!I53</f>
        <v>0</v>
      </c>
      <c r="H54" s="4">
        <v>0.9</v>
      </c>
      <c r="I54" s="2">
        <f t="shared" si="1"/>
        <v>0</v>
      </c>
      <c r="J54" s="2">
        <v>1200</v>
      </c>
      <c r="K54">
        <f t="shared" si="2"/>
        <v>1200</v>
      </c>
      <c r="L54" s="3">
        <f t="shared" si="4"/>
        <v>2200</v>
      </c>
    </row>
    <row r="55" spans="1:12" x14ac:dyDescent="0.25">
      <c r="A55">
        <f>المخزون!A44</f>
        <v>0</v>
      </c>
      <c r="B55">
        <f>المخزون!D54</f>
        <v>0</v>
      </c>
      <c r="C55">
        <f>المخزون!F44</f>
        <v>0</v>
      </c>
      <c r="D55" s="2">
        <v>1000</v>
      </c>
      <c r="E55" s="2">
        <f>المخزون!E54</f>
        <v>0</v>
      </c>
      <c r="F55" s="2">
        <f t="shared" si="0"/>
        <v>1000</v>
      </c>
      <c r="G55" s="1">
        <f>المخزون!I54</f>
        <v>0</v>
      </c>
      <c r="H55" s="4">
        <v>0.9</v>
      </c>
      <c r="I55" s="2">
        <f t="shared" si="1"/>
        <v>0</v>
      </c>
      <c r="J55" s="2">
        <v>1200</v>
      </c>
      <c r="K55">
        <f t="shared" si="2"/>
        <v>1200</v>
      </c>
      <c r="L55" s="3">
        <f t="shared" si="4"/>
        <v>2200</v>
      </c>
    </row>
    <row r="56" spans="1:12" x14ac:dyDescent="0.25">
      <c r="A56">
        <f>المخزون!A45</f>
        <v>0</v>
      </c>
      <c r="B56">
        <f>المخزون!D55</f>
        <v>0</v>
      </c>
      <c r="C56">
        <f>المخزون!F43</f>
        <v>0</v>
      </c>
      <c r="D56" s="2">
        <v>1000</v>
      </c>
      <c r="E56" s="2">
        <f>المخزون!E45</f>
        <v>0</v>
      </c>
      <c r="F56" s="2">
        <f t="shared" si="0"/>
        <v>1000</v>
      </c>
      <c r="G56" s="1">
        <f>المخزون!I55</f>
        <v>0</v>
      </c>
      <c r="H56" s="4">
        <v>0.9</v>
      </c>
      <c r="I56" s="2">
        <f t="shared" si="1"/>
        <v>0</v>
      </c>
      <c r="J56" s="2">
        <v>1200</v>
      </c>
      <c r="K56">
        <f t="shared" si="2"/>
        <v>1200</v>
      </c>
      <c r="L56" s="3">
        <f t="shared" si="4"/>
        <v>2200</v>
      </c>
    </row>
    <row r="57" spans="1:12" x14ac:dyDescent="0.25">
      <c r="A57">
        <f>المخزون!A46</f>
        <v>0</v>
      </c>
      <c r="B57">
        <f>المخزون!D56</f>
        <v>0</v>
      </c>
      <c r="C57">
        <f>المخزون!F44</f>
        <v>0</v>
      </c>
      <c r="D57" s="2">
        <v>1000</v>
      </c>
      <c r="E57" s="2">
        <f>المخزون!E46</f>
        <v>0</v>
      </c>
      <c r="F57" s="2">
        <f t="shared" si="0"/>
        <v>1000</v>
      </c>
      <c r="G57" s="1">
        <f>المخزون!I56</f>
        <v>0</v>
      </c>
      <c r="H57" s="4">
        <v>0.9</v>
      </c>
      <c r="I57" s="2">
        <f t="shared" si="1"/>
        <v>0</v>
      </c>
      <c r="J57" s="2">
        <v>1200</v>
      </c>
      <c r="K57">
        <f t="shared" si="2"/>
        <v>1200</v>
      </c>
      <c r="L57" s="3">
        <f t="shared" si="4"/>
        <v>2200</v>
      </c>
    </row>
    <row r="58" spans="1:12" x14ac:dyDescent="0.25">
      <c r="A58">
        <f>المخزون!A47</f>
        <v>0</v>
      </c>
      <c r="B58">
        <f>المخزون!D57</f>
        <v>0</v>
      </c>
      <c r="C58">
        <f>المخزون!F39</f>
        <v>0</v>
      </c>
      <c r="D58" s="2">
        <v>1000</v>
      </c>
      <c r="E58" s="2">
        <f>المخزون!E45</f>
        <v>0</v>
      </c>
      <c r="F58" s="2">
        <f t="shared" ref="F58:F59" si="5">D58+E58</f>
        <v>1000</v>
      </c>
      <c r="H58" s="4">
        <v>0.9</v>
      </c>
      <c r="I58" s="2">
        <f t="shared" ref="I58:I63" si="6">G58*H58</f>
        <v>0</v>
      </c>
      <c r="J58" s="2">
        <v>1200</v>
      </c>
      <c r="K58">
        <f t="shared" ref="K58:K63" si="7">I58+J58</f>
        <v>1200</v>
      </c>
      <c r="L58" s="3">
        <f t="shared" si="4"/>
        <v>2200</v>
      </c>
    </row>
    <row r="59" spans="1:12" x14ac:dyDescent="0.25">
      <c r="A59">
        <f>المخزون!A48</f>
        <v>0</v>
      </c>
      <c r="B59">
        <f>المخزون!D58</f>
        <v>0</v>
      </c>
      <c r="C59">
        <f>المخزون!F40</f>
        <v>0</v>
      </c>
      <c r="D59" s="2">
        <v>1000</v>
      </c>
      <c r="E59" s="2">
        <f>المخزون!E46</f>
        <v>0</v>
      </c>
      <c r="F59" s="2">
        <f t="shared" si="5"/>
        <v>1000</v>
      </c>
      <c r="H59" s="4">
        <v>0.9</v>
      </c>
      <c r="I59" s="2">
        <f t="shared" si="6"/>
        <v>0</v>
      </c>
      <c r="J59" s="2">
        <v>1200</v>
      </c>
      <c r="K59">
        <f t="shared" si="7"/>
        <v>1200</v>
      </c>
      <c r="L59" s="3">
        <f t="shared" si="4"/>
        <v>2200</v>
      </c>
    </row>
    <row r="60" spans="1:12" x14ac:dyDescent="0.25">
      <c r="A60">
        <f>المخزون!A41</f>
        <v>0</v>
      </c>
      <c r="B60">
        <f>المخزون!D41</f>
        <v>0</v>
      </c>
      <c r="C60">
        <f>المخزون!F41</f>
        <v>0</v>
      </c>
      <c r="D60" s="2">
        <v>1000</v>
      </c>
      <c r="E60" s="2">
        <f>المخزون!E41</f>
        <v>0</v>
      </c>
      <c r="F60" s="2">
        <f t="shared" ref="F60:F63" si="8">D60+E60</f>
        <v>1000</v>
      </c>
      <c r="H60" s="4">
        <v>0.85</v>
      </c>
      <c r="I60" s="2">
        <f t="shared" si="6"/>
        <v>0</v>
      </c>
      <c r="J60" s="2">
        <v>1200</v>
      </c>
      <c r="K60">
        <f t="shared" si="7"/>
        <v>1200</v>
      </c>
      <c r="L60" s="3">
        <f t="shared" si="4"/>
        <v>2200</v>
      </c>
    </row>
    <row r="61" spans="1:12" x14ac:dyDescent="0.25">
      <c r="A61">
        <f>المخزون!A42</f>
        <v>0</v>
      </c>
      <c r="B61">
        <f>المخزون!D42</f>
        <v>0</v>
      </c>
      <c r="C61">
        <f>المخزون!F42</f>
        <v>0</v>
      </c>
      <c r="D61" s="2">
        <v>1000</v>
      </c>
      <c r="E61" s="2">
        <f>المخزون!E42</f>
        <v>0</v>
      </c>
      <c r="F61" s="2">
        <f t="shared" si="8"/>
        <v>1000</v>
      </c>
      <c r="H61" s="4">
        <v>0.85</v>
      </c>
      <c r="I61" s="2">
        <f t="shared" si="6"/>
        <v>0</v>
      </c>
      <c r="J61" s="2">
        <v>1200</v>
      </c>
      <c r="K61">
        <f t="shared" si="7"/>
        <v>1200</v>
      </c>
      <c r="L61" s="3">
        <f t="shared" si="4"/>
        <v>2200</v>
      </c>
    </row>
    <row r="62" spans="1:12" x14ac:dyDescent="0.25">
      <c r="A62">
        <f>المخزون!A43</f>
        <v>0</v>
      </c>
      <c r="B62">
        <f>المخزون!D43</f>
        <v>0</v>
      </c>
      <c r="C62">
        <f>المخزون!F43</f>
        <v>0</v>
      </c>
      <c r="D62" s="2">
        <v>1000</v>
      </c>
      <c r="E62" s="2">
        <f>المخزون!E43</f>
        <v>0</v>
      </c>
      <c r="F62" s="2">
        <f t="shared" si="8"/>
        <v>1000</v>
      </c>
      <c r="H62" s="4">
        <v>0.85</v>
      </c>
      <c r="I62" s="2">
        <f t="shared" si="6"/>
        <v>0</v>
      </c>
      <c r="J62" s="2">
        <v>1200</v>
      </c>
      <c r="K62">
        <f t="shared" si="7"/>
        <v>1200</v>
      </c>
      <c r="L62" s="3">
        <f t="shared" ref="L62:L63" si="9">(F62+J62)-I62</f>
        <v>2200</v>
      </c>
    </row>
    <row r="63" spans="1:12" x14ac:dyDescent="0.25">
      <c r="A63">
        <f>المخزون!A44</f>
        <v>0</v>
      </c>
      <c r="B63">
        <f>المخزون!D44</f>
        <v>0</v>
      </c>
      <c r="C63">
        <f>المخزون!F44</f>
        <v>0</v>
      </c>
      <c r="D63" s="2">
        <v>1000</v>
      </c>
      <c r="E63" s="2">
        <f>المخزون!E44</f>
        <v>0</v>
      </c>
      <c r="F63" s="2">
        <f t="shared" si="8"/>
        <v>1000</v>
      </c>
      <c r="H63" s="4">
        <v>0.85</v>
      </c>
      <c r="I63" s="2">
        <f t="shared" si="6"/>
        <v>0</v>
      </c>
      <c r="J63" s="2">
        <v>1200</v>
      </c>
      <c r="K63">
        <f t="shared" si="7"/>
        <v>1200</v>
      </c>
      <c r="L63" s="3">
        <f t="shared" si="9"/>
        <v>2200</v>
      </c>
    </row>
  </sheetData>
  <mergeCells count="38">
    <mergeCell ref="M2:M3"/>
    <mergeCell ref="K2:K3"/>
    <mergeCell ref="L2:L3"/>
    <mergeCell ref="B2:B3"/>
    <mergeCell ref="A1:L1"/>
    <mergeCell ref="A2:A3"/>
    <mergeCell ref="C2:C3"/>
    <mergeCell ref="D2:D3"/>
    <mergeCell ref="E2:E3"/>
    <mergeCell ref="F2:F3"/>
    <mergeCell ref="G2:G3"/>
    <mergeCell ref="H2:H3"/>
    <mergeCell ref="I2:I3"/>
    <mergeCell ref="J2:J3"/>
    <mergeCell ref="N1:S1"/>
    <mergeCell ref="N2:S3"/>
    <mergeCell ref="N4:S4"/>
    <mergeCell ref="N5:S5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N15:S15"/>
    <mergeCell ref="N16:S16"/>
    <mergeCell ref="N22:S22"/>
    <mergeCell ref="N23:S23"/>
    <mergeCell ref="N24:S24"/>
    <mergeCell ref="N25:S25"/>
    <mergeCell ref="N17:S17"/>
    <mergeCell ref="N18:S18"/>
    <mergeCell ref="N19:S19"/>
    <mergeCell ref="N20:S20"/>
    <mergeCell ref="N21:S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0B4E-CF9B-4B6A-81A9-ABD13198FB9B}">
  <sheetPr codeName="Sheet6"/>
  <dimension ref="A1:Q63"/>
  <sheetViews>
    <sheetView workbookViewId="0">
      <selection sqref="A1:K1"/>
    </sheetView>
  </sheetViews>
  <sheetFormatPr defaultRowHeight="15" x14ac:dyDescent="0.25"/>
  <cols>
    <col min="1" max="1" width="21.140625" bestFit="1" customWidth="1"/>
    <col min="2" max="2" width="6.7109375" bestFit="1" customWidth="1"/>
    <col min="3" max="3" width="13.28515625" bestFit="1" customWidth="1"/>
    <col min="4" max="5" width="6" bestFit="1" customWidth="1"/>
    <col min="6" max="6" width="9.7109375" bestFit="1" customWidth="1"/>
    <col min="7" max="7" width="5" bestFit="1" customWidth="1"/>
    <col min="8" max="8" width="10.42578125" bestFit="1" customWidth="1"/>
    <col min="9" max="9" width="8.140625" bestFit="1" customWidth="1"/>
    <col min="10" max="10" width="8.42578125" bestFit="1" customWidth="1"/>
    <col min="11" max="11" width="12.140625" bestFit="1" customWidth="1"/>
    <col min="14" max="14" width="7.42578125" customWidth="1"/>
  </cols>
  <sheetData>
    <row r="1" spans="1:17" ht="26.25" x14ac:dyDescent="0.25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3" t="s">
        <v>49</v>
      </c>
      <c r="M1" s="23"/>
      <c r="N1" s="23"/>
      <c r="O1" s="23"/>
      <c r="P1" s="23"/>
      <c r="Q1" s="23"/>
    </row>
    <row r="2" spans="1:17" x14ac:dyDescent="0.25">
      <c r="A2" s="21" t="s">
        <v>5</v>
      </c>
      <c r="B2" s="21" t="s">
        <v>4</v>
      </c>
      <c r="C2" s="26" t="s">
        <v>12</v>
      </c>
      <c r="D2" s="26" t="s">
        <v>10</v>
      </c>
      <c r="E2" s="26" t="s">
        <v>6</v>
      </c>
      <c r="F2" s="26" t="s">
        <v>7</v>
      </c>
      <c r="G2" s="26" t="s">
        <v>13</v>
      </c>
      <c r="H2" s="26" t="s">
        <v>8</v>
      </c>
      <c r="I2" s="26" t="s">
        <v>9</v>
      </c>
      <c r="J2" s="26" t="s">
        <v>11</v>
      </c>
      <c r="K2" s="26" t="s">
        <v>14</v>
      </c>
      <c r="L2" s="21" t="s">
        <v>55</v>
      </c>
      <c r="M2" s="21"/>
      <c r="N2" s="21"/>
      <c r="O2" s="21"/>
      <c r="P2" s="21"/>
      <c r="Q2" s="21"/>
    </row>
    <row r="3" spans="1:17" x14ac:dyDescent="0.25">
      <c r="A3" s="21"/>
      <c r="B3" s="21"/>
      <c r="C3" s="26"/>
      <c r="D3" s="26"/>
      <c r="E3" s="26"/>
      <c r="F3" s="26"/>
      <c r="G3" s="26"/>
      <c r="H3" s="26"/>
      <c r="I3" s="26"/>
      <c r="J3" s="26"/>
      <c r="K3" s="26"/>
      <c r="L3" s="21"/>
      <c r="M3" s="21"/>
      <c r="N3" s="21"/>
      <c r="O3" s="21"/>
      <c r="P3" s="21"/>
      <c r="Q3" s="21"/>
    </row>
    <row r="4" spans="1:17" x14ac:dyDescent="0.25">
      <c r="A4" t="str">
        <f>المخزون!A3</f>
        <v>BYD Dolphyn</v>
      </c>
      <c r="B4">
        <f>المخزون!F3</f>
        <v>2022</v>
      </c>
      <c r="C4" s="2">
        <v>1000</v>
      </c>
      <c r="D4" s="2">
        <f>المخزون!E3</f>
        <v>12800</v>
      </c>
      <c r="E4" s="2">
        <f>C4+D4</f>
        <v>13800</v>
      </c>
      <c r="F4" s="1">
        <f>المخزون!J3</f>
        <v>13500</v>
      </c>
      <c r="G4" s="4">
        <v>0.85</v>
      </c>
      <c r="H4" s="2">
        <f>F4*G4</f>
        <v>11475</v>
      </c>
      <c r="I4" s="2">
        <v>850</v>
      </c>
      <c r="J4">
        <f>H4+I4</f>
        <v>12325</v>
      </c>
      <c r="K4" s="3">
        <f>(E4+I4)-H4</f>
        <v>3175</v>
      </c>
      <c r="L4" s="21" t="s">
        <v>50</v>
      </c>
      <c r="M4" s="21"/>
      <c r="N4" s="21"/>
      <c r="O4" s="21"/>
      <c r="P4" s="21"/>
      <c r="Q4" s="21"/>
    </row>
    <row r="5" spans="1:17" x14ac:dyDescent="0.25">
      <c r="A5" t="str">
        <f>المخزون!A4</f>
        <v>Hyundai Enciano</v>
      </c>
      <c r="B5">
        <f>المخزون!F4</f>
        <v>2019</v>
      </c>
      <c r="C5" s="2">
        <v>1000</v>
      </c>
      <c r="D5" s="2">
        <f>المخزون!E4</f>
        <v>15500</v>
      </c>
      <c r="E5" s="2">
        <f t="shared" ref="E5:E55" si="0">C5+D5</f>
        <v>16500</v>
      </c>
      <c r="F5" s="1" t="str">
        <f>المخزون!J4</f>
        <v>Cash Only</v>
      </c>
      <c r="G5" s="4">
        <v>0.85</v>
      </c>
      <c r="H5" s="2" t="e">
        <f t="shared" ref="H5:H57" si="1">F5*G5</f>
        <v>#VALUE!</v>
      </c>
      <c r="I5" s="2">
        <v>850</v>
      </c>
      <c r="J5" t="e">
        <f t="shared" ref="J5:J57" si="2">H5+I5</f>
        <v>#VALUE!</v>
      </c>
      <c r="K5" s="3" t="e">
        <f t="shared" ref="K5:K50" si="3">(E5+I5)-H5</f>
        <v>#VALUE!</v>
      </c>
      <c r="L5" s="21" t="s">
        <v>56</v>
      </c>
      <c r="M5" s="21"/>
      <c r="N5" s="21"/>
      <c r="O5" s="21"/>
      <c r="P5" s="21"/>
      <c r="Q5" s="21"/>
    </row>
    <row r="6" spans="1:17" x14ac:dyDescent="0.25">
      <c r="A6" t="str">
        <f>المخزون!A5</f>
        <v>Neta V</v>
      </c>
      <c r="B6">
        <f>المخزون!F5</f>
        <v>2022</v>
      </c>
      <c r="C6" s="2">
        <v>1000</v>
      </c>
      <c r="D6" s="2">
        <f>المخزون!E5</f>
        <v>9700</v>
      </c>
      <c r="E6" s="2">
        <f t="shared" si="0"/>
        <v>10700</v>
      </c>
      <c r="F6" s="1">
        <f>المخزون!J5</f>
        <v>0</v>
      </c>
      <c r="G6" s="4">
        <v>0.85</v>
      </c>
      <c r="H6" s="2">
        <f t="shared" si="1"/>
        <v>0</v>
      </c>
      <c r="I6" s="2">
        <v>850</v>
      </c>
      <c r="J6">
        <f t="shared" si="2"/>
        <v>850</v>
      </c>
      <c r="K6" s="3">
        <f t="shared" si="3"/>
        <v>11550</v>
      </c>
      <c r="L6" s="21" t="s">
        <v>57</v>
      </c>
      <c r="M6" s="21"/>
      <c r="N6" s="21"/>
      <c r="O6" s="21"/>
      <c r="P6" s="21"/>
      <c r="Q6" s="21"/>
    </row>
    <row r="7" spans="1:17" x14ac:dyDescent="0.25">
      <c r="A7" t="str">
        <f>المخزون!A6</f>
        <v>Neta V</v>
      </c>
      <c r="B7">
        <f>المخزون!F6</f>
        <v>2021</v>
      </c>
      <c r="C7" s="2">
        <v>1000</v>
      </c>
      <c r="D7" s="2">
        <f>المخزون!E6</f>
        <v>8700</v>
      </c>
      <c r="E7" s="2">
        <f t="shared" si="0"/>
        <v>9700</v>
      </c>
      <c r="F7" s="1">
        <f>المخزون!J6</f>
        <v>0</v>
      </c>
      <c r="G7" s="4">
        <v>0.85</v>
      </c>
      <c r="H7" s="2">
        <f t="shared" si="1"/>
        <v>0</v>
      </c>
      <c r="I7" s="2">
        <v>850</v>
      </c>
      <c r="J7">
        <f t="shared" si="2"/>
        <v>850</v>
      </c>
      <c r="K7" s="3">
        <f t="shared" si="3"/>
        <v>10550</v>
      </c>
      <c r="L7" s="21" t="s">
        <v>61</v>
      </c>
      <c r="M7" s="21"/>
      <c r="N7" s="21"/>
      <c r="O7" s="21"/>
      <c r="P7" s="21"/>
      <c r="Q7" s="21"/>
    </row>
    <row r="8" spans="1:17" x14ac:dyDescent="0.25">
      <c r="A8" t="str">
        <f>المخزون!A7</f>
        <v>Neta U / FULL</v>
      </c>
      <c r="B8">
        <f>المخزون!F7</f>
        <v>2022</v>
      </c>
      <c r="C8" s="2">
        <v>1000</v>
      </c>
      <c r="D8" s="2">
        <f>المخزون!E7</f>
        <v>15000</v>
      </c>
      <c r="E8" s="2">
        <f t="shared" si="0"/>
        <v>16000</v>
      </c>
      <c r="F8" s="1">
        <f>المخزون!J7</f>
        <v>0</v>
      </c>
      <c r="G8" s="4">
        <v>0.85</v>
      </c>
      <c r="H8" s="2">
        <f t="shared" si="1"/>
        <v>0</v>
      </c>
      <c r="I8" s="2">
        <v>850</v>
      </c>
      <c r="J8">
        <f t="shared" si="2"/>
        <v>850</v>
      </c>
      <c r="K8" s="3">
        <f t="shared" si="3"/>
        <v>16850</v>
      </c>
      <c r="L8" s="21"/>
      <c r="M8" s="21"/>
      <c r="N8" s="21"/>
      <c r="O8" s="21"/>
      <c r="P8" s="21"/>
      <c r="Q8" s="21"/>
    </row>
    <row r="9" spans="1:17" x14ac:dyDescent="0.25">
      <c r="A9" t="str">
        <f>المخزون!A8</f>
        <v>Neta Aya</v>
      </c>
      <c r="B9">
        <f>المخزون!F8</f>
        <v>2023</v>
      </c>
      <c r="C9" s="2">
        <v>1000</v>
      </c>
      <c r="D9" s="2">
        <f>المخزون!E8</f>
        <v>10100</v>
      </c>
      <c r="E9" s="2">
        <f t="shared" si="0"/>
        <v>11100</v>
      </c>
      <c r="F9" s="1">
        <f>المخزون!J8</f>
        <v>0</v>
      </c>
      <c r="G9" s="4">
        <v>0.85</v>
      </c>
      <c r="H9" s="2">
        <f t="shared" si="1"/>
        <v>0</v>
      </c>
      <c r="I9" s="2">
        <v>850</v>
      </c>
      <c r="J9">
        <f t="shared" si="2"/>
        <v>850</v>
      </c>
      <c r="K9" s="3">
        <f t="shared" si="3"/>
        <v>11950</v>
      </c>
      <c r="L9" s="22"/>
      <c r="M9" s="22"/>
      <c r="N9" s="22"/>
      <c r="O9" s="22"/>
      <c r="P9" s="22"/>
      <c r="Q9" s="22"/>
    </row>
    <row r="10" spans="1:17" x14ac:dyDescent="0.25">
      <c r="A10" t="str">
        <f>المخزون!A9</f>
        <v>Neta X</v>
      </c>
      <c r="B10">
        <f>المخزون!F9</f>
        <v>2023</v>
      </c>
      <c r="C10" s="2">
        <v>1000</v>
      </c>
      <c r="D10" s="2">
        <f>المخزون!E9</f>
        <v>15500</v>
      </c>
      <c r="E10" s="2">
        <f t="shared" si="0"/>
        <v>16500</v>
      </c>
      <c r="F10" s="1">
        <f>المخزون!J9</f>
        <v>0</v>
      </c>
      <c r="G10" s="4">
        <v>0.85</v>
      </c>
      <c r="H10" s="2">
        <f t="shared" si="1"/>
        <v>0</v>
      </c>
      <c r="I10" s="2">
        <v>850</v>
      </c>
      <c r="J10">
        <f t="shared" si="2"/>
        <v>850</v>
      </c>
      <c r="K10" s="3">
        <f t="shared" si="3"/>
        <v>17350</v>
      </c>
      <c r="L10" s="25" t="s">
        <v>60</v>
      </c>
      <c r="M10" s="25"/>
      <c r="N10" s="25"/>
      <c r="O10" s="25"/>
      <c r="P10" s="25"/>
      <c r="Q10" s="25"/>
    </row>
    <row r="11" spans="1:17" x14ac:dyDescent="0.25">
      <c r="A11" t="str">
        <f>المخزون!A10</f>
        <v>BYD Yuan Plus</v>
      </c>
      <c r="B11">
        <f>المخزون!F10</f>
        <v>2023</v>
      </c>
      <c r="C11" s="2">
        <v>1000</v>
      </c>
      <c r="D11" s="2">
        <f>المخزون!E10</f>
        <v>17800</v>
      </c>
      <c r="E11" s="2">
        <f t="shared" si="0"/>
        <v>18800</v>
      </c>
      <c r="F11" s="1">
        <f>المخزون!J10</f>
        <v>19000</v>
      </c>
      <c r="G11" s="4">
        <v>0.85</v>
      </c>
      <c r="H11" s="2">
        <f t="shared" si="1"/>
        <v>16150</v>
      </c>
      <c r="I11" s="2">
        <v>850</v>
      </c>
      <c r="J11">
        <f t="shared" si="2"/>
        <v>17000</v>
      </c>
      <c r="K11" s="3">
        <f t="shared" si="3"/>
        <v>3500</v>
      </c>
      <c r="L11" s="25"/>
      <c r="M11" s="25"/>
      <c r="N11" s="25"/>
      <c r="O11" s="25"/>
      <c r="P11" s="25"/>
      <c r="Q11" s="25"/>
    </row>
    <row r="12" spans="1:17" x14ac:dyDescent="0.25">
      <c r="A12" t="str">
        <f>المخزون!A11</f>
        <v>Nammi Box Dong Feng</v>
      </c>
      <c r="B12">
        <f>المخزون!F11</f>
        <v>2023</v>
      </c>
      <c r="C12" s="2">
        <v>1000</v>
      </c>
      <c r="D12" s="2">
        <f>المخزون!E11</f>
        <v>12000</v>
      </c>
      <c r="E12" s="2">
        <f t="shared" si="0"/>
        <v>13000</v>
      </c>
      <c r="F12" s="1" t="str">
        <f>المخزون!J11</f>
        <v>Cash Only</v>
      </c>
      <c r="G12" s="4">
        <v>0.85</v>
      </c>
      <c r="H12" s="2" t="e">
        <f t="shared" si="1"/>
        <v>#VALUE!</v>
      </c>
      <c r="I12" s="2">
        <v>850</v>
      </c>
      <c r="J12" t="e">
        <f t="shared" si="2"/>
        <v>#VALUE!</v>
      </c>
      <c r="K12" s="3" t="e">
        <f t="shared" si="3"/>
        <v>#VALUE!</v>
      </c>
      <c r="L12" s="22"/>
      <c r="M12" s="22"/>
      <c r="N12" s="22"/>
      <c r="O12" s="22"/>
      <c r="P12" s="22"/>
      <c r="Q12" s="22"/>
    </row>
    <row r="13" spans="1:17" x14ac:dyDescent="0.25">
      <c r="A13" t="str">
        <f>المخزون!A12</f>
        <v>E Golf</v>
      </c>
      <c r="B13">
        <f>المخزون!F12</f>
        <v>2021</v>
      </c>
      <c r="C13" s="2">
        <v>1000</v>
      </c>
      <c r="D13" s="2">
        <f>المخزون!E12</f>
        <v>12300</v>
      </c>
      <c r="E13" s="2">
        <f t="shared" si="0"/>
        <v>13300</v>
      </c>
      <c r="F13" s="1">
        <f>المخزون!J12</f>
        <v>13000</v>
      </c>
      <c r="G13" s="4">
        <v>0.85</v>
      </c>
      <c r="H13" s="2">
        <f t="shared" si="1"/>
        <v>11050</v>
      </c>
      <c r="I13" s="2">
        <v>850</v>
      </c>
      <c r="J13">
        <f t="shared" si="2"/>
        <v>11900</v>
      </c>
      <c r="K13" s="3">
        <f t="shared" si="3"/>
        <v>3100</v>
      </c>
      <c r="L13" s="22"/>
      <c r="M13" s="22"/>
      <c r="N13" s="22"/>
      <c r="O13" s="22"/>
      <c r="P13" s="22"/>
      <c r="Q13" s="22"/>
    </row>
    <row r="14" spans="1:17" x14ac:dyDescent="0.25">
      <c r="A14" t="str">
        <f>المخزون!A13</f>
        <v>LaVida</v>
      </c>
      <c r="B14">
        <f>المخزون!F13</f>
        <v>2019</v>
      </c>
      <c r="C14" s="2">
        <v>1000</v>
      </c>
      <c r="D14" s="2">
        <f>المخزون!E13</f>
        <v>10700</v>
      </c>
      <c r="E14" s="2">
        <f t="shared" si="0"/>
        <v>11700</v>
      </c>
      <c r="F14" s="1">
        <f>المخزون!J13</f>
        <v>11700</v>
      </c>
      <c r="G14" s="4">
        <v>0.85</v>
      </c>
      <c r="H14" s="2">
        <f t="shared" si="1"/>
        <v>9945</v>
      </c>
      <c r="I14" s="2">
        <v>850</v>
      </c>
      <c r="J14">
        <f t="shared" si="2"/>
        <v>10795</v>
      </c>
      <c r="K14" s="3">
        <f t="shared" si="3"/>
        <v>2605</v>
      </c>
      <c r="L14" s="22"/>
      <c r="M14" s="22"/>
      <c r="N14" s="22"/>
      <c r="O14" s="22"/>
      <c r="P14" s="22"/>
      <c r="Q14" s="22"/>
    </row>
    <row r="15" spans="1:17" x14ac:dyDescent="0.25">
      <c r="A15" t="str">
        <f>المخزون!A14</f>
        <v>LaVida</v>
      </c>
      <c r="B15">
        <f>المخزون!F14</f>
        <v>2021</v>
      </c>
      <c r="C15" s="2">
        <v>1000</v>
      </c>
      <c r="D15" s="2">
        <f>المخزون!E14</f>
        <v>11500</v>
      </c>
      <c r="E15" s="2">
        <f t="shared" si="0"/>
        <v>12500</v>
      </c>
      <c r="F15" s="1">
        <f>المخزون!J14</f>
        <v>13000</v>
      </c>
      <c r="G15" s="4">
        <v>0.85</v>
      </c>
      <c r="H15" s="2">
        <f t="shared" si="1"/>
        <v>11050</v>
      </c>
      <c r="I15" s="2">
        <v>850</v>
      </c>
      <c r="J15">
        <f t="shared" si="2"/>
        <v>11900</v>
      </c>
      <c r="K15" s="3">
        <f t="shared" si="3"/>
        <v>2300</v>
      </c>
      <c r="L15" s="22"/>
      <c r="M15" s="22"/>
      <c r="N15" s="22"/>
      <c r="O15" s="22"/>
      <c r="P15" s="22"/>
      <c r="Q15" s="22"/>
    </row>
    <row r="16" spans="1:17" x14ac:dyDescent="0.25">
      <c r="A16" t="str">
        <f>المخزون!A15</f>
        <v>Nano</v>
      </c>
      <c r="B16">
        <f>المخزون!F15</f>
        <v>2022</v>
      </c>
      <c r="C16" s="2">
        <v>1000</v>
      </c>
      <c r="D16" s="2">
        <f>المخزون!E15</f>
        <v>8250</v>
      </c>
      <c r="E16" s="2">
        <f t="shared" si="0"/>
        <v>9250</v>
      </c>
      <c r="F16" s="1">
        <f>المخزون!J15</f>
        <v>9000</v>
      </c>
      <c r="G16" s="4">
        <v>0.85</v>
      </c>
      <c r="H16" s="2">
        <f t="shared" si="1"/>
        <v>7650</v>
      </c>
      <c r="I16" s="2">
        <v>850</v>
      </c>
      <c r="J16">
        <f t="shared" si="2"/>
        <v>8500</v>
      </c>
      <c r="K16" s="3">
        <f t="shared" si="3"/>
        <v>2450</v>
      </c>
      <c r="L16" s="22"/>
      <c r="M16" s="22"/>
      <c r="N16" s="22"/>
      <c r="O16" s="22"/>
      <c r="P16" s="22"/>
      <c r="Q16" s="22"/>
    </row>
    <row r="17" spans="1:17" x14ac:dyDescent="0.25">
      <c r="A17" t="str">
        <f>المخزون!A16</f>
        <v>Honda NS1</v>
      </c>
      <c r="B17">
        <f>المخزون!F16</f>
        <v>2023</v>
      </c>
      <c r="C17" s="2">
        <v>1000</v>
      </c>
      <c r="D17" s="2">
        <f>المخزون!E16</f>
        <v>16700</v>
      </c>
      <c r="E17" s="2">
        <f t="shared" si="0"/>
        <v>17700</v>
      </c>
      <c r="F17" s="1">
        <f>المخزون!J16</f>
        <v>17500</v>
      </c>
      <c r="G17" s="4">
        <v>0.85</v>
      </c>
      <c r="H17" s="2">
        <f t="shared" si="1"/>
        <v>14875</v>
      </c>
      <c r="I17" s="2">
        <v>850</v>
      </c>
      <c r="J17">
        <f t="shared" si="2"/>
        <v>15725</v>
      </c>
      <c r="K17" s="3">
        <f t="shared" si="3"/>
        <v>3675</v>
      </c>
      <c r="L17" s="22" t="s">
        <v>84</v>
      </c>
      <c r="M17" s="22"/>
      <c r="N17" s="22"/>
      <c r="O17" s="22"/>
      <c r="P17" s="22"/>
      <c r="Q17" s="22"/>
    </row>
    <row r="18" spans="1:17" x14ac:dyDescent="0.25">
      <c r="A18" t="str">
        <f>المخزون!A17</f>
        <v>BYD seagall</v>
      </c>
      <c r="B18">
        <f>المخزون!F17</f>
        <v>2024</v>
      </c>
      <c r="C18" s="2">
        <v>1000</v>
      </c>
      <c r="D18" s="2">
        <f>المخزون!E17</f>
        <v>13250</v>
      </c>
      <c r="E18" s="2">
        <f t="shared" si="0"/>
        <v>14250</v>
      </c>
      <c r="F18" s="1">
        <f>المخزون!J17</f>
        <v>14500</v>
      </c>
      <c r="G18" s="4">
        <v>0.85</v>
      </c>
      <c r="H18" s="2">
        <f t="shared" si="1"/>
        <v>12325</v>
      </c>
      <c r="I18" s="2">
        <v>850</v>
      </c>
      <c r="J18">
        <f t="shared" si="2"/>
        <v>13175</v>
      </c>
      <c r="K18" s="3">
        <f t="shared" si="3"/>
        <v>2775</v>
      </c>
      <c r="L18" s="22"/>
      <c r="M18" s="22"/>
      <c r="N18" s="22"/>
      <c r="O18" s="22"/>
      <c r="P18" s="22"/>
      <c r="Q18" s="22"/>
    </row>
    <row r="19" spans="1:17" x14ac:dyDescent="0.25">
      <c r="A19" t="str">
        <f>المخزون!A18</f>
        <v>toyota BZ3</v>
      </c>
      <c r="B19">
        <f>المخزون!F18</f>
        <v>2023</v>
      </c>
      <c r="C19" s="2">
        <v>1000</v>
      </c>
      <c r="D19" s="2">
        <f>المخزون!E18</f>
        <v>18000</v>
      </c>
      <c r="E19" s="2">
        <f t="shared" si="0"/>
        <v>19000</v>
      </c>
      <c r="F19" s="1">
        <f>المخزون!J18</f>
        <v>20000</v>
      </c>
      <c r="G19" s="4">
        <v>0.85</v>
      </c>
      <c r="H19" s="2">
        <f t="shared" si="1"/>
        <v>17000</v>
      </c>
      <c r="I19" s="2">
        <v>850</v>
      </c>
      <c r="J19">
        <f t="shared" si="2"/>
        <v>17850</v>
      </c>
      <c r="K19" s="3">
        <f t="shared" si="3"/>
        <v>2850</v>
      </c>
      <c r="L19" s="22"/>
      <c r="M19" s="22"/>
      <c r="N19" s="22"/>
      <c r="O19" s="22"/>
      <c r="P19" s="22"/>
      <c r="Q19" s="22"/>
    </row>
    <row r="20" spans="1:17" x14ac:dyDescent="0.25">
      <c r="A20" t="str">
        <f>المخزون!A19</f>
        <v>KIA EV5</v>
      </c>
      <c r="B20">
        <f>المخزون!F19</f>
        <v>2023</v>
      </c>
      <c r="C20" s="2">
        <v>1000</v>
      </c>
      <c r="D20" s="2">
        <f>المخزون!E19</f>
        <v>22000</v>
      </c>
      <c r="E20" s="2">
        <f t="shared" si="0"/>
        <v>23000</v>
      </c>
      <c r="F20" s="1">
        <f>المخزون!J19</f>
        <v>24000</v>
      </c>
      <c r="G20" s="4">
        <v>0.85</v>
      </c>
      <c r="H20" s="2">
        <f t="shared" si="1"/>
        <v>20400</v>
      </c>
      <c r="I20" s="2">
        <v>850</v>
      </c>
      <c r="J20">
        <f t="shared" si="2"/>
        <v>21250</v>
      </c>
      <c r="K20" s="3">
        <f t="shared" si="3"/>
        <v>3450</v>
      </c>
      <c r="L20" s="22"/>
      <c r="M20" s="22"/>
      <c r="N20" s="22"/>
      <c r="O20" s="22"/>
      <c r="P20" s="22"/>
      <c r="Q20" s="22"/>
    </row>
    <row r="21" spans="1:17" x14ac:dyDescent="0.25">
      <c r="A21" t="str">
        <f>المخزون!A20</f>
        <v>QUIN BYD EV</v>
      </c>
      <c r="B21">
        <f>المخزون!F20</f>
        <v>2023</v>
      </c>
      <c r="C21" s="2">
        <v>1000</v>
      </c>
      <c r="D21" s="2">
        <f>المخزون!E20</f>
        <v>13000</v>
      </c>
      <c r="E21" s="2">
        <f t="shared" si="0"/>
        <v>14000</v>
      </c>
      <c r="F21" s="1">
        <f>المخزون!J20</f>
        <v>14500</v>
      </c>
      <c r="G21" s="4">
        <v>0.85</v>
      </c>
      <c r="H21" s="2">
        <f t="shared" si="1"/>
        <v>12325</v>
      </c>
      <c r="I21" s="2">
        <v>850</v>
      </c>
      <c r="J21">
        <f t="shared" si="2"/>
        <v>13175</v>
      </c>
      <c r="K21" s="3">
        <f t="shared" si="3"/>
        <v>2525</v>
      </c>
      <c r="L21" s="22"/>
      <c r="M21" s="22"/>
      <c r="N21" s="22"/>
      <c r="O21" s="22"/>
      <c r="P21" s="22"/>
      <c r="Q21" s="22"/>
    </row>
    <row r="22" spans="1:17" x14ac:dyDescent="0.25">
      <c r="A22" t="str">
        <f>المخزون!A21</f>
        <v>BYD E2 20 305</v>
      </c>
      <c r="B22">
        <f>المخزون!F21</f>
        <v>2020</v>
      </c>
      <c r="C22" s="2">
        <v>1000</v>
      </c>
      <c r="D22" s="2">
        <f>المخزون!E21</f>
        <v>11300</v>
      </c>
      <c r="E22" s="2">
        <f t="shared" si="0"/>
        <v>12300</v>
      </c>
      <c r="F22" s="1">
        <f>المخزون!J21</f>
        <v>12000</v>
      </c>
      <c r="G22" s="4">
        <v>0.85</v>
      </c>
      <c r="H22" s="2">
        <f t="shared" si="1"/>
        <v>10200</v>
      </c>
      <c r="I22" s="2">
        <v>850</v>
      </c>
      <c r="J22">
        <f t="shared" si="2"/>
        <v>11050</v>
      </c>
      <c r="K22" s="3">
        <f t="shared" si="3"/>
        <v>2950</v>
      </c>
      <c r="L22" s="22"/>
      <c r="M22" s="22"/>
      <c r="N22" s="22"/>
      <c r="O22" s="22"/>
      <c r="P22" s="22"/>
      <c r="Q22" s="22"/>
    </row>
    <row r="23" spans="1:17" x14ac:dyDescent="0.25">
      <c r="A23" t="str">
        <f>المخزون!A22</f>
        <v xml:space="preserve">BYD QIN + EV </v>
      </c>
      <c r="B23">
        <f>المخزون!F22</f>
        <v>2020</v>
      </c>
      <c r="C23" s="2">
        <v>1000</v>
      </c>
      <c r="D23" s="2">
        <f>المخزون!E22</f>
        <v>10350</v>
      </c>
      <c r="E23" s="2">
        <f t="shared" si="0"/>
        <v>11350</v>
      </c>
      <c r="F23" s="1">
        <f>المخزون!J22</f>
        <v>12500</v>
      </c>
      <c r="G23" s="4">
        <v>0.85</v>
      </c>
      <c r="H23" s="2">
        <f t="shared" si="1"/>
        <v>10625</v>
      </c>
      <c r="I23" s="2">
        <v>850</v>
      </c>
      <c r="J23">
        <f t="shared" si="2"/>
        <v>11475</v>
      </c>
      <c r="K23" s="3">
        <f t="shared" si="3"/>
        <v>1575</v>
      </c>
      <c r="L23" s="22"/>
      <c r="M23" s="22"/>
      <c r="N23" s="22"/>
      <c r="O23" s="22"/>
      <c r="P23" s="22"/>
      <c r="Q23" s="22"/>
    </row>
    <row r="24" spans="1:17" x14ac:dyDescent="0.25">
      <c r="A24" t="str">
        <f>المخزون!A23</f>
        <v>HONGQUI EMQ5</v>
      </c>
      <c r="B24">
        <f>المخزون!F23</f>
        <v>2022</v>
      </c>
      <c r="C24" s="2">
        <v>1000</v>
      </c>
      <c r="D24" s="2">
        <f>المخزون!E23</f>
        <v>14250</v>
      </c>
      <c r="E24" s="2">
        <f t="shared" si="0"/>
        <v>15250</v>
      </c>
      <c r="F24" s="1">
        <f>المخزون!J23</f>
        <v>16000</v>
      </c>
      <c r="G24" s="4">
        <v>0.85</v>
      </c>
      <c r="H24" s="2">
        <f t="shared" si="1"/>
        <v>13600</v>
      </c>
      <c r="I24" s="2">
        <v>850</v>
      </c>
      <c r="J24">
        <f t="shared" si="2"/>
        <v>14450</v>
      </c>
      <c r="K24" s="3">
        <f t="shared" si="3"/>
        <v>2500</v>
      </c>
      <c r="L24" s="22"/>
      <c r="M24" s="22"/>
      <c r="N24" s="22"/>
      <c r="O24" s="22"/>
      <c r="P24" s="22"/>
      <c r="Q24" s="22"/>
    </row>
    <row r="25" spans="1:17" x14ac:dyDescent="0.25">
      <c r="A25" t="str">
        <f>المخزون!A24</f>
        <v>LEAP T03</v>
      </c>
      <c r="B25">
        <f>المخزون!F24</f>
        <v>2024</v>
      </c>
      <c r="C25" s="2">
        <v>1000</v>
      </c>
      <c r="D25" s="2">
        <f>المخزون!E24</f>
        <v>9500</v>
      </c>
      <c r="E25" s="2">
        <f t="shared" si="0"/>
        <v>10500</v>
      </c>
      <c r="F25" s="1">
        <f>المخزون!J24</f>
        <v>11000</v>
      </c>
      <c r="G25" s="4">
        <v>0.85</v>
      </c>
      <c r="H25" s="2">
        <f t="shared" si="1"/>
        <v>9350</v>
      </c>
      <c r="I25" s="2">
        <v>850</v>
      </c>
      <c r="J25">
        <f t="shared" si="2"/>
        <v>10200</v>
      </c>
      <c r="K25" s="3">
        <f t="shared" si="3"/>
        <v>2000</v>
      </c>
      <c r="L25" s="22"/>
      <c r="M25" s="22"/>
      <c r="N25" s="22"/>
      <c r="O25" s="22"/>
      <c r="P25" s="22"/>
      <c r="Q25" s="22"/>
    </row>
    <row r="26" spans="1:17" x14ac:dyDescent="0.25">
      <c r="A26" t="str">
        <f>المخزون!A25</f>
        <v>FORTHING S60</v>
      </c>
      <c r="B26">
        <f>المخزون!F25</f>
        <v>2023</v>
      </c>
      <c r="C26" s="2">
        <v>1000</v>
      </c>
      <c r="D26" s="2">
        <f>المخزون!E25</f>
        <v>13200</v>
      </c>
      <c r="E26" s="2">
        <f t="shared" si="0"/>
        <v>14200</v>
      </c>
      <c r="F26" s="1">
        <f>المخزون!J25</f>
        <v>14500</v>
      </c>
      <c r="G26" s="4">
        <v>0.85</v>
      </c>
      <c r="H26" s="2">
        <f t="shared" si="1"/>
        <v>12325</v>
      </c>
      <c r="I26" s="2">
        <v>850</v>
      </c>
      <c r="J26">
        <f t="shared" si="2"/>
        <v>13175</v>
      </c>
      <c r="K26" s="3">
        <f t="shared" si="3"/>
        <v>2725</v>
      </c>
    </row>
    <row r="27" spans="1:17" x14ac:dyDescent="0.25">
      <c r="A27" t="str">
        <f>المخزون!A26</f>
        <v xml:space="preserve">NANO </v>
      </c>
      <c r="B27">
        <f>المخزون!F26</f>
        <v>2022</v>
      </c>
      <c r="C27" s="2">
        <v>1000</v>
      </c>
      <c r="D27" s="2">
        <f>المخزون!E26</f>
        <v>8700</v>
      </c>
      <c r="E27" s="2">
        <f t="shared" si="0"/>
        <v>9700</v>
      </c>
      <c r="F27" s="1">
        <f>المخزون!J26</f>
        <v>0</v>
      </c>
      <c r="G27" s="4">
        <v>0.85</v>
      </c>
      <c r="H27" s="2">
        <f t="shared" si="1"/>
        <v>0</v>
      </c>
      <c r="I27" s="2">
        <v>850</v>
      </c>
      <c r="J27">
        <f t="shared" si="2"/>
        <v>850</v>
      </c>
      <c r="K27" s="3">
        <f t="shared" si="3"/>
        <v>10550</v>
      </c>
    </row>
    <row r="28" spans="1:17" x14ac:dyDescent="0.25">
      <c r="A28" t="str">
        <f>المخزون!A27</f>
        <v>LEAP T03</v>
      </c>
      <c r="B28">
        <f>المخزون!F27</f>
        <v>2022</v>
      </c>
      <c r="C28" s="2">
        <v>1000</v>
      </c>
      <c r="D28" s="2">
        <f>المخزون!E27</f>
        <v>7700</v>
      </c>
      <c r="E28" s="2">
        <f t="shared" si="0"/>
        <v>8700</v>
      </c>
      <c r="F28" s="1">
        <f>المخزون!J27</f>
        <v>0</v>
      </c>
      <c r="G28" s="4">
        <v>0.85</v>
      </c>
      <c r="H28" s="2">
        <f t="shared" si="1"/>
        <v>0</v>
      </c>
      <c r="I28" s="2">
        <v>850</v>
      </c>
      <c r="J28">
        <f t="shared" si="2"/>
        <v>850</v>
      </c>
      <c r="K28" s="3">
        <f t="shared" si="3"/>
        <v>9550</v>
      </c>
    </row>
    <row r="29" spans="1:17" x14ac:dyDescent="0.25">
      <c r="A29" t="str">
        <f>المخزون!A28</f>
        <v>Nissan Sylphi</v>
      </c>
      <c r="B29">
        <f>المخزون!F28</f>
        <v>2019</v>
      </c>
      <c r="C29" s="2">
        <v>1000</v>
      </c>
      <c r="D29" s="2">
        <f>المخزون!E28</f>
        <v>8700</v>
      </c>
      <c r="E29" s="2">
        <f t="shared" si="0"/>
        <v>9700</v>
      </c>
      <c r="F29" s="1">
        <f>المخزون!J28</f>
        <v>12000</v>
      </c>
      <c r="G29" s="4">
        <v>0.85</v>
      </c>
      <c r="H29" s="2">
        <f t="shared" si="1"/>
        <v>10200</v>
      </c>
      <c r="I29" s="2">
        <v>850</v>
      </c>
      <c r="J29">
        <f t="shared" si="2"/>
        <v>11050</v>
      </c>
      <c r="K29" s="3">
        <f t="shared" si="3"/>
        <v>350</v>
      </c>
    </row>
    <row r="30" spans="1:17" x14ac:dyDescent="0.25">
      <c r="A30" t="str">
        <f>المخزون!A29</f>
        <v>Dong Feng Mage</v>
      </c>
      <c r="B30">
        <f>المخزون!F29</f>
        <v>2026</v>
      </c>
      <c r="C30" s="2">
        <v>1000</v>
      </c>
      <c r="D30" s="2">
        <f>المخزون!E29</f>
        <v>0</v>
      </c>
      <c r="E30" s="2">
        <f t="shared" si="0"/>
        <v>1000</v>
      </c>
      <c r="F30" s="1">
        <f>المخزون!J29</f>
        <v>0</v>
      </c>
      <c r="G30" s="4">
        <v>0.85</v>
      </c>
      <c r="H30" s="2">
        <f t="shared" si="1"/>
        <v>0</v>
      </c>
      <c r="I30" s="2">
        <v>850</v>
      </c>
      <c r="J30">
        <f t="shared" si="2"/>
        <v>850</v>
      </c>
      <c r="K30" s="3">
        <f t="shared" si="3"/>
        <v>1850</v>
      </c>
    </row>
    <row r="31" spans="1:17" x14ac:dyDescent="0.25">
      <c r="A31" t="str">
        <f>المخزون!A30</f>
        <v>BYD SONG plus</v>
      </c>
      <c r="B31">
        <f>المخزون!F30</f>
        <v>2024</v>
      </c>
      <c r="C31" s="2">
        <v>1000</v>
      </c>
      <c r="D31" s="2">
        <f>المخزون!E30</f>
        <v>24250</v>
      </c>
      <c r="E31" s="2">
        <f t="shared" si="0"/>
        <v>25250</v>
      </c>
      <c r="F31" s="1">
        <f>المخزون!J30</f>
        <v>0</v>
      </c>
      <c r="G31" s="4">
        <v>0.85</v>
      </c>
      <c r="H31" s="2">
        <f t="shared" si="1"/>
        <v>0</v>
      </c>
      <c r="I31" s="2">
        <v>850</v>
      </c>
      <c r="J31">
        <f t="shared" si="2"/>
        <v>850</v>
      </c>
      <c r="K31" s="3">
        <f t="shared" si="3"/>
        <v>26100</v>
      </c>
    </row>
    <row r="32" spans="1:17" x14ac:dyDescent="0.25">
      <c r="A32" t="str">
        <f>المخزون!A31</f>
        <v>Toyota BZ4</v>
      </c>
      <c r="B32">
        <f>المخزون!F31</f>
        <v>2022</v>
      </c>
      <c r="C32" s="2">
        <v>1000</v>
      </c>
      <c r="D32" s="2">
        <f>المخزون!E31</f>
        <v>22000</v>
      </c>
      <c r="E32" s="2">
        <f t="shared" si="0"/>
        <v>23000</v>
      </c>
      <c r="F32" s="1">
        <f>المخزون!J31</f>
        <v>0</v>
      </c>
      <c r="G32" s="4">
        <v>0.85</v>
      </c>
      <c r="H32" s="2">
        <f t="shared" si="1"/>
        <v>0</v>
      </c>
      <c r="I32" s="2">
        <v>850</v>
      </c>
      <c r="J32">
        <f t="shared" si="2"/>
        <v>850</v>
      </c>
      <c r="K32" s="3">
        <f t="shared" si="3"/>
        <v>23850</v>
      </c>
    </row>
    <row r="33" spans="1:11" x14ac:dyDescent="0.25">
      <c r="A33" t="str">
        <f>المخزون!A32</f>
        <v>Changan Eado</v>
      </c>
      <c r="B33">
        <f>المخزون!F32</f>
        <v>2026</v>
      </c>
      <c r="C33" s="2">
        <v>1000</v>
      </c>
      <c r="D33" s="2">
        <f>المخزون!E32</f>
        <v>17500</v>
      </c>
      <c r="E33" s="2">
        <f t="shared" si="0"/>
        <v>18500</v>
      </c>
      <c r="F33" s="1" t="str">
        <f>المخزون!J32</f>
        <v>Cash Only</v>
      </c>
      <c r="G33" s="4">
        <v>0.85</v>
      </c>
      <c r="H33" s="2" t="e">
        <f t="shared" si="1"/>
        <v>#VALUE!</v>
      </c>
      <c r="I33" s="2">
        <v>850</v>
      </c>
      <c r="J33" t="e">
        <f t="shared" si="2"/>
        <v>#VALUE!</v>
      </c>
      <c r="K33" s="3" t="e">
        <f t="shared" si="3"/>
        <v>#VALUE!</v>
      </c>
    </row>
    <row r="34" spans="1:11" x14ac:dyDescent="0.25">
      <c r="A34" t="str">
        <f>المخزون!A33</f>
        <v>Changan Eado</v>
      </c>
      <c r="B34">
        <f>المخزون!F33</f>
        <v>2026</v>
      </c>
      <c r="C34" s="2">
        <v>1000</v>
      </c>
      <c r="D34" s="2">
        <f>المخزون!E33</f>
        <v>16500</v>
      </c>
      <c r="E34" s="2">
        <f t="shared" si="0"/>
        <v>17500</v>
      </c>
      <c r="F34" s="1" t="str">
        <f>المخزون!J33</f>
        <v>Cash Only</v>
      </c>
      <c r="G34" s="4">
        <v>0.85</v>
      </c>
      <c r="H34" s="2" t="e">
        <f t="shared" si="1"/>
        <v>#VALUE!</v>
      </c>
      <c r="I34" s="2">
        <v>850</v>
      </c>
      <c r="J34" t="e">
        <f t="shared" si="2"/>
        <v>#VALUE!</v>
      </c>
      <c r="K34" s="3" t="e">
        <f t="shared" si="3"/>
        <v>#VALUE!</v>
      </c>
    </row>
    <row r="35" spans="1:11" x14ac:dyDescent="0.25">
      <c r="A35" t="str">
        <f>المخزون!A34</f>
        <v>Changan Eado</v>
      </c>
      <c r="B35">
        <f>المخزون!F34</f>
        <v>2023</v>
      </c>
      <c r="C35" s="2">
        <v>1000</v>
      </c>
      <c r="D35" s="2">
        <f>المخزون!E34</f>
        <v>14500</v>
      </c>
      <c r="E35" s="2">
        <f t="shared" si="0"/>
        <v>15500</v>
      </c>
      <c r="F35" s="1" t="str">
        <f>المخزون!J34</f>
        <v>Cash Only</v>
      </c>
      <c r="G35" s="4">
        <v>0.85</v>
      </c>
      <c r="H35" s="2" t="e">
        <f t="shared" si="1"/>
        <v>#VALUE!</v>
      </c>
      <c r="I35" s="2">
        <v>850</v>
      </c>
      <c r="J35" t="e">
        <f t="shared" si="2"/>
        <v>#VALUE!</v>
      </c>
      <c r="K35" s="3" t="e">
        <f t="shared" si="3"/>
        <v>#VALUE!</v>
      </c>
    </row>
    <row r="36" spans="1:11" x14ac:dyDescent="0.25">
      <c r="A36" t="str">
        <f>المخزون!A35</f>
        <v>Changan Eado</v>
      </c>
      <c r="B36">
        <f>المخزون!F35</f>
        <v>2022</v>
      </c>
      <c r="C36" s="2">
        <v>1000</v>
      </c>
      <c r="D36" s="2">
        <f>المخزون!E35</f>
        <v>13000</v>
      </c>
      <c r="E36" s="2">
        <f t="shared" si="0"/>
        <v>14000</v>
      </c>
      <c r="F36" s="1" t="str">
        <f>المخزون!J35</f>
        <v>Cash Only</v>
      </c>
      <c r="G36" s="4">
        <v>0.85</v>
      </c>
      <c r="H36" s="2" t="e">
        <f t="shared" si="1"/>
        <v>#VALUE!</v>
      </c>
      <c r="I36" s="2">
        <v>850</v>
      </c>
      <c r="J36" t="e">
        <f t="shared" si="2"/>
        <v>#VALUE!</v>
      </c>
      <c r="K36" s="3" t="e">
        <f t="shared" si="3"/>
        <v>#VALUE!</v>
      </c>
    </row>
    <row r="37" spans="1:11" x14ac:dyDescent="0.25">
      <c r="A37" t="str">
        <f>المخزون!A36</f>
        <v>Song pro</v>
      </c>
      <c r="B37">
        <f>المخزون!F36</f>
        <v>2025</v>
      </c>
      <c r="C37" s="2">
        <v>1000</v>
      </c>
      <c r="D37" s="2">
        <f>المخزون!E36</f>
        <v>22000</v>
      </c>
      <c r="E37" s="2">
        <f t="shared" si="0"/>
        <v>23000</v>
      </c>
      <c r="F37" s="1">
        <f>المخزون!J36</f>
        <v>0</v>
      </c>
      <c r="G37" s="4">
        <v>0.85</v>
      </c>
      <c r="H37" s="2">
        <f t="shared" si="1"/>
        <v>0</v>
      </c>
      <c r="I37" s="2">
        <v>850</v>
      </c>
      <c r="J37">
        <f t="shared" si="2"/>
        <v>850</v>
      </c>
      <c r="K37" s="3">
        <f t="shared" si="3"/>
        <v>23850</v>
      </c>
    </row>
    <row r="38" spans="1:11" x14ac:dyDescent="0.25">
      <c r="A38" t="str">
        <f>المخزون!A37</f>
        <v>BYD QUIN L</v>
      </c>
      <c r="B38">
        <f>المخزون!F37</f>
        <v>2025</v>
      </c>
      <c r="C38" s="2">
        <v>1000</v>
      </c>
      <c r="D38" s="2">
        <f>المخزون!E37</f>
        <v>0</v>
      </c>
      <c r="E38" s="2">
        <f t="shared" si="0"/>
        <v>1000</v>
      </c>
      <c r="F38" s="1">
        <f>المخزون!J37</f>
        <v>0</v>
      </c>
      <c r="G38" s="4">
        <v>0.85</v>
      </c>
      <c r="H38" s="2">
        <f t="shared" si="1"/>
        <v>0</v>
      </c>
      <c r="I38" s="2">
        <v>850</v>
      </c>
      <c r="J38">
        <f t="shared" si="2"/>
        <v>850</v>
      </c>
      <c r="K38" s="3">
        <f t="shared" si="3"/>
        <v>1850</v>
      </c>
    </row>
    <row r="39" spans="1:11" x14ac:dyDescent="0.25">
      <c r="A39">
        <f>المخزون!A38</f>
        <v>0</v>
      </c>
      <c r="B39">
        <f>المخزون!F38</f>
        <v>0</v>
      </c>
      <c r="C39" s="2">
        <v>1000</v>
      </c>
      <c r="D39" s="2">
        <f>المخزون!E38</f>
        <v>0</v>
      </c>
      <c r="E39" s="2">
        <f t="shared" si="0"/>
        <v>1000</v>
      </c>
      <c r="F39" s="1">
        <f>المخزون!J38</f>
        <v>0</v>
      </c>
      <c r="G39" s="4">
        <v>0.85</v>
      </c>
      <c r="H39" s="2">
        <f t="shared" si="1"/>
        <v>0</v>
      </c>
      <c r="I39" s="2">
        <v>850</v>
      </c>
      <c r="J39">
        <f t="shared" si="2"/>
        <v>850</v>
      </c>
      <c r="K39" s="3">
        <f t="shared" si="3"/>
        <v>1850</v>
      </c>
    </row>
    <row r="40" spans="1:11" x14ac:dyDescent="0.25">
      <c r="A40">
        <f>المخزون!A39</f>
        <v>0</v>
      </c>
      <c r="B40">
        <f>المخزون!F39</f>
        <v>0</v>
      </c>
      <c r="C40" s="2">
        <v>1000</v>
      </c>
      <c r="D40" s="2">
        <f>المخزون!E39</f>
        <v>0</v>
      </c>
      <c r="E40" s="2">
        <f t="shared" si="0"/>
        <v>1000</v>
      </c>
      <c r="F40" s="1">
        <f>المخزون!J39</f>
        <v>0</v>
      </c>
      <c r="G40" s="4">
        <v>0.85</v>
      </c>
      <c r="H40" s="2">
        <f t="shared" si="1"/>
        <v>0</v>
      </c>
      <c r="I40" s="2">
        <v>850</v>
      </c>
      <c r="J40">
        <f t="shared" si="2"/>
        <v>850</v>
      </c>
      <c r="K40" s="3">
        <f t="shared" si="3"/>
        <v>1850</v>
      </c>
    </row>
    <row r="41" spans="1:11" x14ac:dyDescent="0.25">
      <c r="A41">
        <f>المخزون!A40</f>
        <v>0</v>
      </c>
      <c r="B41">
        <f>المخزون!F40</f>
        <v>0</v>
      </c>
      <c r="C41" s="2">
        <v>1000</v>
      </c>
      <c r="D41" s="2">
        <f>المخزون!E40</f>
        <v>0</v>
      </c>
      <c r="E41" s="2">
        <f t="shared" si="0"/>
        <v>1000</v>
      </c>
      <c r="F41" s="1">
        <f>المخزون!J40</f>
        <v>0</v>
      </c>
      <c r="G41" s="4">
        <v>0.85</v>
      </c>
      <c r="H41" s="2">
        <f t="shared" si="1"/>
        <v>0</v>
      </c>
      <c r="I41" s="2">
        <v>850</v>
      </c>
      <c r="J41">
        <f t="shared" si="2"/>
        <v>850</v>
      </c>
      <c r="K41" s="3">
        <f t="shared" si="3"/>
        <v>1850</v>
      </c>
    </row>
    <row r="42" spans="1:11" x14ac:dyDescent="0.25">
      <c r="A42">
        <f>المخزون!A41</f>
        <v>0</v>
      </c>
      <c r="B42">
        <f>المخزون!F41</f>
        <v>0</v>
      </c>
      <c r="C42" s="2">
        <v>1000</v>
      </c>
      <c r="D42" s="2">
        <f>المخزون!E41</f>
        <v>0</v>
      </c>
      <c r="E42" s="2">
        <f t="shared" si="0"/>
        <v>1000</v>
      </c>
      <c r="F42" s="1">
        <f>المخزون!J41</f>
        <v>0</v>
      </c>
      <c r="G42" s="4">
        <v>0.85</v>
      </c>
      <c r="H42" s="2">
        <f t="shared" si="1"/>
        <v>0</v>
      </c>
      <c r="I42" s="2">
        <v>850</v>
      </c>
      <c r="J42">
        <f t="shared" si="2"/>
        <v>850</v>
      </c>
      <c r="K42" s="3">
        <f t="shared" si="3"/>
        <v>1850</v>
      </c>
    </row>
    <row r="43" spans="1:11" x14ac:dyDescent="0.25">
      <c r="A43">
        <f>المخزون!A42</f>
        <v>0</v>
      </c>
      <c r="B43">
        <f>المخزون!F42</f>
        <v>0</v>
      </c>
      <c r="C43" s="2">
        <v>1000</v>
      </c>
      <c r="D43" s="2">
        <f>المخزون!E42</f>
        <v>0</v>
      </c>
      <c r="E43" s="2">
        <f t="shared" si="0"/>
        <v>1000</v>
      </c>
      <c r="F43" s="1">
        <f>المخزون!J42</f>
        <v>0</v>
      </c>
      <c r="G43" s="4">
        <v>0.85</v>
      </c>
      <c r="H43" s="2">
        <f t="shared" si="1"/>
        <v>0</v>
      </c>
      <c r="I43" s="2">
        <v>850</v>
      </c>
      <c r="J43">
        <f t="shared" si="2"/>
        <v>850</v>
      </c>
      <c r="K43" s="3">
        <f t="shared" si="3"/>
        <v>1850</v>
      </c>
    </row>
    <row r="44" spans="1:11" x14ac:dyDescent="0.25">
      <c r="A44">
        <f>المخزون!A43</f>
        <v>0</v>
      </c>
      <c r="B44">
        <f>المخزون!F43</f>
        <v>0</v>
      </c>
      <c r="C44" s="2">
        <v>1000</v>
      </c>
      <c r="D44" s="2">
        <f>المخزون!E43</f>
        <v>0</v>
      </c>
      <c r="E44" s="2">
        <f t="shared" si="0"/>
        <v>1000</v>
      </c>
      <c r="F44" s="1">
        <f>المخزون!J43</f>
        <v>0</v>
      </c>
      <c r="G44" s="4">
        <v>0.85</v>
      </c>
      <c r="H44" s="2">
        <f t="shared" si="1"/>
        <v>0</v>
      </c>
      <c r="I44" s="2">
        <v>850</v>
      </c>
      <c r="J44">
        <f t="shared" si="2"/>
        <v>850</v>
      </c>
      <c r="K44" s="3">
        <f t="shared" si="3"/>
        <v>1850</v>
      </c>
    </row>
    <row r="45" spans="1:11" x14ac:dyDescent="0.25">
      <c r="A45">
        <f>المخزون!A44</f>
        <v>0</v>
      </c>
      <c r="B45">
        <f>المخزون!F44</f>
        <v>0</v>
      </c>
      <c r="C45" s="2">
        <v>1000</v>
      </c>
      <c r="D45" s="2">
        <f>المخزون!E44</f>
        <v>0</v>
      </c>
      <c r="E45" s="2">
        <f t="shared" si="0"/>
        <v>1000</v>
      </c>
      <c r="F45" s="1">
        <f>المخزون!J44</f>
        <v>0</v>
      </c>
      <c r="G45" s="4">
        <v>0.85</v>
      </c>
      <c r="H45" s="2">
        <f t="shared" si="1"/>
        <v>0</v>
      </c>
      <c r="I45" s="2">
        <v>850</v>
      </c>
      <c r="J45">
        <f t="shared" si="2"/>
        <v>850</v>
      </c>
      <c r="K45" s="3">
        <f t="shared" si="3"/>
        <v>1850</v>
      </c>
    </row>
    <row r="46" spans="1:11" x14ac:dyDescent="0.25">
      <c r="A46">
        <f>المخزون!A45</f>
        <v>0</v>
      </c>
      <c r="B46">
        <f>المخزون!F45</f>
        <v>0</v>
      </c>
      <c r="C46" s="2">
        <v>1000</v>
      </c>
      <c r="D46" s="2">
        <f>المخزون!E45</f>
        <v>0</v>
      </c>
      <c r="E46" s="2">
        <f t="shared" si="0"/>
        <v>1000</v>
      </c>
      <c r="F46" s="1">
        <f>المخزون!J45</f>
        <v>0</v>
      </c>
      <c r="G46" s="4">
        <v>0.85</v>
      </c>
      <c r="H46" s="2">
        <f t="shared" si="1"/>
        <v>0</v>
      </c>
      <c r="I46" s="2">
        <v>850</v>
      </c>
      <c r="J46">
        <f t="shared" si="2"/>
        <v>850</v>
      </c>
      <c r="K46" s="3">
        <f t="shared" si="3"/>
        <v>1850</v>
      </c>
    </row>
    <row r="47" spans="1:11" x14ac:dyDescent="0.25">
      <c r="A47">
        <f>المخزون!A46</f>
        <v>0</v>
      </c>
      <c r="B47">
        <f>المخزون!F46</f>
        <v>0</v>
      </c>
      <c r="C47" s="2">
        <v>1000</v>
      </c>
      <c r="D47" s="2">
        <f>المخزون!E46</f>
        <v>0</v>
      </c>
      <c r="E47" s="2">
        <f t="shared" si="0"/>
        <v>1000</v>
      </c>
      <c r="F47" s="1">
        <f>المخزون!J46</f>
        <v>0</v>
      </c>
      <c r="G47" s="4">
        <v>0.85</v>
      </c>
      <c r="H47" s="2">
        <f t="shared" si="1"/>
        <v>0</v>
      </c>
      <c r="I47" s="2">
        <v>850</v>
      </c>
      <c r="J47">
        <f t="shared" si="2"/>
        <v>850</v>
      </c>
      <c r="K47" s="3">
        <f t="shared" si="3"/>
        <v>1850</v>
      </c>
    </row>
    <row r="48" spans="1:11" x14ac:dyDescent="0.25">
      <c r="A48">
        <f>المخزون!A47</f>
        <v>0</v>
      </c>
      <c r="B48">
        <f>المخزون!F47</f>
        <v>0</v>
      </c>
      <c r="C48" s="2">
        <v>1000</v>
      </c>
      <c r="D48" s="2">
        <f>المخزون!E47</f>
        <v>0</v>
      </c>
      <c r="E48" s="2">
        <f t="shared" si="0"/>
        <v>1000</v>
      </c>
      <c r="F48" s="1">
        <f>المخزون!J47</f>
        <v>0</v>
      </c>
      <c r="G48" s="4">
        <v>0.85</v>
      </c>
      <c r="H48" s="2">
        <f t="shared" si="1"/>
        <v>0</v>
      </c>
      <c r="I48" s="2">
        <v>850</v>
      </c>
      <c r="J48">
        <f t="shared" si="2"/>
        <v>850</v>
      </c>
      <c r="K48" s="3">
        <f t="shared" si="3"/>
        <v>1850</v>
      </c>
    </row>
    <row r="49" spans="1:11" x14ac:dyDescent="0.25">
      <c r="A49">
        <f>المخزون!A48</f>
        <v>0</v>
      </c>
      <c r="B49">
        <f>المخزون!F48</f>
        <v>0</v>
      </c>
      <c r="C49" s="2">
        <v>1000</v>
      </c>
      <c r="D49" s="2">
        <f>المخزون!E48</f>
        <v>0</v>
      </c>
      <c r="E49" s="2">
        <f t="shared" si="0"/>
        <v>1000</v>
      </c>
      <c r="F49" s="1">
        <f>المخزون!J48</f>
        <v>0</v>
      </c>
      <c r="G49" s="4">
        <v>0.85</v>
      </c>
      <c r="H49" s="2">
        <f t="shared" si="1"/>
        <v>0</v>
      </c>
      <c r="I49" s="2">
        <v>850</v>
      </c>
      <c r="J49">
        <f t="shared" si="2"/>
        <v>850</v>
      </c>
      <c r="K49" s="3">
        <f t="shared" si="3"/>
        <v>1850</v>
      </c>
    </row>
    <row r="50" spans="1:11" x14ac:dyDescent="0.25">
      <c r="A50">
        <f>المخزون!A49</f>
        <v>0</v>
      </c>
      <c r="B50">
        <f>المخزون!F49</f>
        <v>0</v>
      </c>
      <c r="C50" s="2">
        <v>1000</v>
      </c>
      <c r="D50" s="2">
        <f>المخزون!E49</f>
        <v>0</v>
      </c>
      <c r="E50" s="2">
        <f t="shared" si="0"/>
        <v>1000</v>
      </c>
      <c r="F50" s="1">
        <f>المخزون!J49</f>
        <v>0</v>
      </c>
      <c r="G50" s="4">
        <v>0.85</v>
      </c>
      <c r="H50" s="2">
        <f t="shared" si="1"/>
        <v>0</v>
      </c>
      <c r="I50" s="2">
        <v>850</v>
      </c>
      <c r="J50">
        <f t="shared" si="2"/>
        <v>850</v>
      </c>
      <c r="K50" s="3">
        <f t="shared" si="3"/>
        <v>1850</v>
      </c>
    </row>
    <row r="51" spans="1:11" x14ac:dyDescent="0.25">
      <c r="A51">
        <f>المخزون!A50</f>
        <v>0</v>
      </c>
      <c r="B51">
        <f>المخزون!F50</f>
        <v>0</v>
      </c>
      <c r="C51" s="2">
        <v>1000</v>
      </c>
      <c r="D51" s="2">
        <f>المخزون!E50</f>
        <v>0</v>
      </c>
      <c r="E51" s="2">
        <f t="shared" si="0"/>
        <v>1000</v>
      </c>
      <c r="F51" s="1">
        <f>المخزون!J50</f>
        <v>0</v>
      </c>
      <c r="G51" s="4">
        <v>0.85</v>
      </c>
      <c r="H51" s="2">
        <f t="shared" si="1"/>
        <v>0</v>
      </c>
      <c r="I51" s="2">
        <v>850</v>
      </c>
      <c r="J51">
        <f t="shared" si="2"/>
        <v>850</v>
      </c>
      <c r="K51" s="3">
        <f t="shared" ref="K51:K57" si="4">(E51+I51)-H51</f>
        <v>1850</v>
      </c>
    </row>
    <row r="52" spans="1:11" x14ac:dyDescent="0.25">
      <c r="A52">
        <f>المخزون!A51</f>
        <v>0</v>
      </c>
      <c r="B52">
        <f>المخزون!F51</f>
        <v>0</v>
      </c>
      <c r="C52" s="2">
        <v>1000</v>
      </c>
      <c r="D52" s="2">
        <f>المخزون!E51</f>
        <v>0</v>
      </c>
      <c r="E52" s="2">
        <f t="shared" si="0"/>
        <v>1000</v>
      </c>
      <c r="F52" s="1">
        <f>المخزون!J51</f>
        <v>0</v>
      </c>
      <c r="G52" s="4">
        <v>0.85</v>
      </c>
      <c r="H52" s="2">
        <f t="shared" si="1"/>
        <v>0</v>
      </c>
      <c r="I52" s="2">
        <v>850</v>
      </c>
      <c r="J52">
        <f t="shared" si="2"/>
        <v>850</v>
      </c>
      <c r="K52" s="3">
        <f t="shared" si="4"/>
        <v>1850</v>
      </c>
    </row>
    <row r="53" spans="1:11" x14ac:dyDescent="0.25">
      <c r="A53">
        <f>المخزون!A52</f>
        <v>0</v>
      </c>
      <c r="B53">
        <f>المخزون!F52</f>
        <v>0</v>
      </c>
      <c r="C53" s="2">
        <v>1000</v>
      </c>
      <c r="D53" s="2">
        <f>المخزون!E42</f>
        <v>0</v>
      </c>
      <c r="E53" s="2">
        <f t="shared" si="0"/>
        <v>1000</v>
      </c>
      <c r="F53" s="1">
        <f>المخزون!J52</f>
        <v>0</v>
      </c>
      <c r="G53" s="4">
        <v>0.85</v>
      </c>
      <c r="H53" s="2">
        <f t="shared" si="1"/>
        <v>0</v>
      </c>
      <c r="I53" s="2">
        <v>850</v>
      </c>
      <c r="J53">
        <f t="shared" si="2"/>
        <v>850</v>
      </c>
      <c r="K53" s="3">
        <f t="shared" si="4"/>
        <v>1850</v>
      </c>
    </row>
    <row r="54" spans="1:11" x14ac:dyDescent="0.25">
      <c r="A54">
        <f>المخزون!A53</f>
        <v>0</v>
      </c>
      <c r="B54">
        <f>المخزون!F53</f>
        <v>0</v>
      </c>
      <c r="C54" s="2">
        <v>1000</v>
      </c>
      <c r="D54" s="2">
        <f>المخزون!E43</f>
        <v>0</v>
      </c>
      <c r="E54" s="2">
        <f t="shared" si="0"/>
        <v>1000</v>
      </c>
      <c r="F54" s="1">
        <f>المخزون!J53</f>
        <v>0</v>
      </c>
      <c r="G54" s="4">
        <v>0.85</v>
      </c>
      <c r="H54" s="2">
        <f t="shared" si="1"/>
        <v>0</v>
      </c>
      <c r="I54" s="2">
        <v>850</v>
      </c>
      <c r="J54">
        <f t="shared" si="2"/>
        <v>850</v>
      </c>
      <c r="K54" s="3">
        <f t="shared" si="4"/>
        <v>1850</v>
      </c>
    </row>
    <row r="55" spans="1:11" x14ac:dyDescent="0.25">
      <c r="A55">
        <f>المخزون!A54</f>
        <v>0</v>
      </c>
      <c r="B55">
        <f>المخزون!F54</f>
        <v>0</v>
      </c>
      <c r="C55" s="2">
        <v>1000</v>
      </c>
      <c r="D55" s="2">
        <f>المخزون!E44</f>
        <v>0</v>
      </c>
      <c r="E55" s="2">
        <f t="shared" si="0"/>
        <v>1000</v>
      </c>
      <c r="F55" s="1">
        <f>المخزون!J54</f>
        <v>0</v>
      </c>
      <c r="G55" s="4">
        <v>0.85</v>
      </c>
      <c r="H55" s="2">
        <f t="shared" si="1"/>
        <v>0</v>
      </c>
      <c r="I55" s="2">
        <v>850</v>
      </c>
      <c r="J55">
        <f t="shared" si="2"/>
        <v>850</v>
      </c>
      <c r="K55" s="3">
        <f t="shared" si="4"/>
        <v>1850</v>
      </c>
    </row>
    <row r="56" spans="1:11" x14ac:dyDescent="0.25">
      <c r="A56">
        <f>المخزون!A55</f>
        <v>0</v>
      </c>
      <c r="B56">
        <f>المخزون!F55</f>
        <v>0</v>
      </c>
      <c r="C56" s="2">
        <v>1000</v>
      </c>
      <c r="D56" s="2">
        <f>المخزون!E43</f>
        <v>0</v>
      </c>
      <c r="E56" s="2">
        <f t="shared" ref="E56:E59" si="5">C56+D56</f>
        <v>1000</v>
      </c>
      <c r="F56" s="1">
        <f>المخزون!J55</f>
        <v>0</v>
      </c>
      <c r="G56" s="4">
        <v>0.85</v>
      </c>
      <c r="H56" s="2">
        <f t="shared" si="1"/>
        <v>0</v>
      </c>
      <c r="I56" s="2">
        <v>850</v>
      </c>
      <c r="J56">
        <f t="shared" si="2"/>
        <v>850</v>
      </c>
      <c r="K56" s="3">
        <f t="shared" si="4"/>
        <v>1850</v>
      </c>
    </row>
    <row r="57" spans="1:11" x14ac:dyDescent="0.25">
      <c r="A57">
        <f>المخزون!A56</f>
        <v>0</v>
      </c>
      <c r="B57">
        <f>المخزون!F56</f>
        <v>0</v>
      </c>
      <c r="C57" s="2">
        <v>1000</v>
      </c>
      <c r="D57" s="2">
        <f>المخزون!E44</f>
        <v>0</v>
      </c>
      <c r="E57" s="2">
        <f t="shared" si="5"/>
        <v>1000</v>
      </c>
      <c r="F57" s="1">
        <f>المخزون!J56</f>
        <v>0</v>
      </c>
      <c r="G57" s="4">
        <v>0.85</v>
      </c>
      <c r="H57" s="2">
        <f t="shared" si="1"/>
        <v>0</v>
      </c>
      <c r="I57" s="2">
        <v>850</v>
      </c>
      <c r="J57">
        <f t="shared" si="2"/>
        <v>850</v>
      </c>
      <c r="K57" s="3">
        <f t="shared" si="4"/>
        <v>1850</v>
      </c>
    </row>
    <row r="58" spans="1:11" x14ac:dyDescent="0.25">
      <c r="A58">
        <f>المخزون!A47</f>
        <v>0</v>
      </c>
      <c r="B58">
        <f>المخزون!F47</f>
        <v>0</v>
      </c>
      <c r="C58" s="2">
        <v>1000</v>
      </c>
      <c r="D58" s="2">
        <f>المخزون!E39</f>
        <v>0</v>
      </c>
      <c r="E58" s="2">
        <f t="shared" si="5"/>
        <v>1000</v>
      </c>
      <c r="G58" s="4">
        <v>0.85</v>
      </c>
      <c r="H58" s="2">
        <f t="shared" ref="H58:H63" si="6">F58*G58</f>
        <v>0</v>
      </c>
      <c r="I58" s="2">
        <v>850</v>
      </c>
      <c r="J58">
        <f t="shared" ref="J58:J63" si="7">H58+I58</f>
        <v>850</v>
      </c>
      <c r="K58" s="3">
        <f t="shared" ref="K58:K63" si="8">(E58+I58)-H58</f>
        <v>1850</v>
      </c>
    </row>
    <row r="59" spans="1:11" x14ac:dyDescent="0.25">
      <c r="A59">
        <f>المخزون!A48</f>
        <v>0</v>
      </c>
      <c r="B59">
        <f>المخزون!F48</f>
        <v>0</v>
      </c>
      <c r="C59" s="2">
        <v>1000</v>
      </c>
      <c r="D59" s="2">
        <f>المخزون!E40</f>
        <v>0</v>
      </c>
      <c r="E59" s="2">
        <f t="shared" si="5"/>
        <v>1000</v>
      </c>
      <c r="G59" s="4">
        <v>0.85</v>
      </c>
      <c r="H59" s="2">
        <f t="shared" si="6"/>
        <v>0</v>
      </c>
      <c r="I59" s="2">
        <v>850</v>
      </c>
      <c r="J59">
        <f t="shared" si="7"/>
        <v>850</v>
      </c>
      <c r="K59" s="3">
        <f t="shared" si="8"/>
        <v>1850</v>
      </c>
    </row>
    <row r="60" spans="1:11" x14ac:dyDescent="0.25">
      <c r="A60">
        <f>المخزون!A41</f>
        <v>0</v>
      </c>
      <c r="B60">
        <f>المخزون!F41</f>
        <v>0</v>
      </c>
      <c r="C60" s="2">
        <v>1000</v>
      </c>
      <c r="D60" s="2">
        <f>المخزون!E41</f>
        <v>0</v>
      </c>
      <c r="E60" s="2">
        <f t="shared" ref="E60:E63" si="9">C60+D60</f>
        <v>1000</v>
      </c>
      <c r="G60" s="4">
        <v>0.85</v>
      </c>
      <c r="H60" s="2">
        <f t="shared" si="6"/>
        <v>0</v>
      </c>
      <c r="I60" s="2">
        <v>850</v>
      </c>
      <c r="J60">
        <f t="shared" si="7"/>
        <v>850</v>
      </c>
      <c r="K60" s="3">
        <f t="shared" si="8"/>
        <v>1850</v>
      </c>
    </row>
    <row r="61" spans="1:11" x14ac:dyDescent="0.25">
      <c r="A61">
        <f>المخزون!A42</f>
        <v>0</v>
      </c>
      <c r="B61">
        <f>المخزون!F42</f>
        <v>0</v>
      </c>
      <c r="C61" s="2">
        <v>1000</v>
      </c>
      <c r="D61" s="2">
        <f>المخزون!E42</f>
        <v>0</v>
      </c>
      <c r="E61" s="2">
        <f t="shared" si="9"/>
        <v>1000</v>
      </c>
      <c r="G61" s="4">
        <v>0.85</v>
      </c>
      <c r="H61" s="2">
        <f t="shared" si="6"/>
        <v>0</v>
      </c>
      <c r="I61" s="2">
        <v>850</v>
      </c>
      <c r="J61">
        <f t="shared" si="7"/>
        <v>850</v>
      </c>
      <c r="K61" s="3">
        <f t="shared" si="8"/>
        <v>1850</v>
      </c>
    </row>
    <row r="62" spans="1:11" x14ac:dyDescent="0.25">
      <c r="A62">
        <f>المخزون!A43</f>
        <v>0</v>
      </c>
      <c r="B62">
        <f>المخزون!F43</f>
        <v>0</v>
      </c>
      <c r="C62" s="2">
        <v>1000</v>
      </c>
      <c r="D62" s="2">
        <f>المخزون!E43</f>
        <v>0</v>
      </c>
      <c r="E62" s="2">
        <f t="shared" si="9"/>
        <v>1000</v>
      </c>
      <c r="G62" s="4">
        <v>0.85</v>
      </c>
      <c r="H62" s="2">
        <f t="shared" si="6"/>
        <v>0</v>
      </c>
      <c r="I62" s="2">
        <v>850</v>
      </c>
      <c r="J62">
        <f t="shared" si="7"/>
        <v>850</v>
      </c>
      <c r="K62" s="3">
        <f t="shared" si="8"/>
        <v>1850</v>
      </c>
    </row>
    <row r="63" spans="1:11" x14ac:dyDescent="0.25">
      <c r="A63">
        <f>المخزون!A44</f>
        <v>0</v>
      </c>
      <c r="B63">
        <f>المخزون!F44</f>
        <v>0</v>
      </c>
      <c r="C63" s="2">
        <v>1000</v>
      </c>
      <c r="D63" s="2">
        <f>المخزون!E44</f>
        <v>0</v>
      </c>
      <c r="E63" s="2">
        <f t="shared" si="9"/>
        <v>1000</v>
      </c>
      <c r="G63" s="4">
        <v>0.85</v>
      </c>
      <c r="H63" s="2">
        <f t="shared" si="6"/>
        <v>0</v>
      </c>
      <c r="I63" s="2">
        <v>850</v>
      </c>
      <c r="J63">
        <f t="shared" si="7"/>
        <v>850</v>
      </c>
      <c r="K63" s="3">
        <f t="shared" si="8"/>
        <v>1850</v>
      </c>
    </row>
  </sheetData>
  <mergeCells count="35">
    <mergeCell ref="L1:Q1"/>
    <mergeCell ref="L2:Q3"/>
    <mergeCell ref="K2:K3"/>
    <mergeCell ref="C2:C3"/>
    <mergeCell ref="A1:K1"/>
    <mergeCell ref="A2:A3"/>
    <mergeCell ref="B2:B3"/>
    <mergeCell ref="H2:H3"/>
    <mergeCell ref="D2:D3"/>
    <mergeCell ref="E2:E3"/>
    <mergeCell ref="F2:F3"/>
    <mergeCell ref="G2:G3"/>
    <mergeCell ref="I2:I3"/>
    <mergeCell ref="J2:J3"/>
    <mergeCell ref="L4:Q4"/>
    <mergeCell ref="L5:Q5"/>
    <mergeCell ref="L6:Q6"/>
    <mergeCell ref="L7:Q7"/>
    <mergeCell ref="L8:Q8"/>
    <mergeCell ref="L9:Q9"/>
    <mergeCell ref="L10:Q11"/>
    <mergeCell ref="L12:Q12"/>
    <mergeCell ref="L13:Q13"/>
    <mergeCell ref="L14:Q14"/>
    <mergeCell ref="L15:Q15"/>
    <mergeCell ref="L16:Q16"/>
    <mergeCell ref="L17:Q17"/>
    <mergeCell ref="L18:Q18"/>
    <mergeCell ref="L19:Q19"/>
    <mergeCell ref="L25:Q25"/>
    <mergeCell ref="L20:Q20"/>
    <mergeCell ref="L21:Q21"/>
    <mergeCell ref="L22:Q22"/>
    <mergeCell ref="L23:Q23"/>
    <mergeCell ref="L24:Q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85CA-139F-499D-930A-2E10F0CFE60D}">
  <sheetPr codeName="Sheet7"/>
  <dimension ref="A1:Q63"/>
  <sheetViews>
    <sheetView workbookViewId="0">
      <selection activeCell="A10" sqref="A10"/>
    </sheetView>
  </sheetViews>
  <sheetFormatPr defaultRowHeight="15" x14ac:dyDescent="0.25"/>
  <cols>
    <col min="1" max="1" width="21.140625" bestFit="1" customWidth="1"/>
    <col min="2" max="2" width="6.7109375" bestFit="1" customWidth="1"/>
    <col min="3" max="3" width="13.28515625" bestFit="1" customWidth="1"/>
    <col min="4" max="5" width="6" bestFit="1" customWidth="1"/>
    <col min="6" max="6" width="9.7109375" bestFit="1" customWidth="1"/>
    <col min="7" max="7" width="5" bestFit="1" customWidth="1"/>
    <col min="8" max="8" width="10.42578125" bestFit="1" customWidth="1"/>
    <col min="9" max="9" width="8.140625" bestFit="1" customWidth="1"/>
    <col min="10" max="10" width="8.42578125" bestFit="1" customWidth="1"/>
    <col min="11" max="11" width="12.140625" bestFit="1" customWidth="1"/>
    <col min="13" max="13" width="16.28515625" customWidth="1"/>
    <col min="14" max="14" width="13.140625" customWidth="1"/>
  </cols>
  <sheetData>
    <row r="1" spans="1:17" ht="26.25" x14ac:dyDescent="0.25">
      <c r="A1" s="24" t="s">
        <v>16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3" t="s">
        <v>49</v>
      </c>
      <c r="M1" s="23"/>
      <c r="N1" s="23"/>
      <c r="O1" s="23"/>
      <c r="P1" s="23"/>
      <c r="Q1" s="23"/>
    </row>
    <row r="2" spans="1:17" x14ac:dyDescent="0.25">
      <c r="A2" s="21" t="s">
        <v>5</v>
      </c>
      <c r="B2" s="21" t="s">
        <v>4</v>
      </c>
      <c r="C2" s="26" t="s">
        <v>12</v>
      </c>
      <c r="D2" s="26" t="s">
        <v>10</v>
      </c>
      <c r="E2" s="26" t="s">
        <v>6</v>
      </c>
      <c r="F2" s="26" t="s">
        <v>7</v>
      </c>
      <c r="G2" s="26" t="s">
        <v>13</v>
      </c>
      <c r="H2" s="26" t="s">
        <v>8</v>
      </c>
      <c r="I2" s="26" t="s">
        <v>9</v>
      </c>
      <c r="J2" s="26" t="s">
        <v>11</v>
      </c>
      <c r="K2" s="26" t="s">
        <v>14</v>
      </c>
      <c r="L2" s="21" t="s">
        <v>65</v>
      </c>
      <c r="M2" s="21"/>
      <c r="N2" s="21"/>
      <c r="O2" s="21"/>
      <c r="P2" s="21"/>
      <c r="Q2" s="21"/>
    </row>
    <row r="3" spans="1:17" x14ac:dyDescent="0.25">
      <c r="A3" s="21"/>
      <c r="B3" s="21"/>
      <c r="C3" s="26"/>
      <c r="D3" s="26"/>
      <c r="E3" s="26"/>
      <c r="F3" s="26"/>
      <c r="G3" s="26"/>
      <c r="H3" s="26"/>
      <c r="I3" s="26"/>
      <c r="J3" s="26"/>
      <c r="K3" s="26"/>
      <c r="L3" s="21"/>
      <c r="M3" s="21"/>
      <c r="N3" s="21"/>
      <c r="O3" s="21"/>
      <c r="P3" s="21"/>
      <c r="Q3" s="21"/>
    </row>
    <row r="4" spans="1:17" x14ac:dyDescent="0.25">
      <c r="A4" t="str">
        <f>المخزون!A3</f>
        <v>BYD Dolphyn</v>
      </c>
      <c r="B4">
        <f>المخزون!F3</f>
        <v>2022</v>
      </c>
      <c r="C4" s="2">
        <v>1000</v>
      </c>
      <c r="D4" s="2">
        <f>المخزون!E3</f>
        <v>12800</v>
      </c>
      <c r="E4" s="2">
        <f>C4+D4</f>
        <v>13800</v>
      </c>
      <c r="F4">
        <f>المخزون!K3</f>
        <v>14800</v>
      </c>
      <c r="G4" s="4">
        <v>0.85</v>
      </c>
      <c r="H4" s="2">
        <f>F4*G4</f>
        <v>12580</v>
      </c>
      <c r="I4" s="2">
        <v>700</v>
      </c>
      <c r="J4">
        <f>H4+I4</f>
        <v>13280</v>
      </c>
      <c r="K4" s="3">
        <f>(E4+I4)-H4</f>
        <v>1920</v>
      </c>
      <c r="L4" s="21" t="s">
        <v>50</v>
      </c>
      <c r="M4" s="21"/>
      <c r="N4" s="21"/>
      <c r="O4" s="21"/>
      <c r="P4" s="21"/>
      <c r="Q4" s="21"/>
    </row>
    <row r="5" spans="1:17" x14ac:dyDescent="0.25">
      <c r="A5" t="str">
        <f>المخزون!A4</f>
        <v>Hyundai Enciano</v>
      </c>
      <c r="B5">
        <f>المخزون!F4</f>
        <v>2019</v>
      </c>
      <c r="C5" s="2">
        <v>1000</v>
      </c>
      <c r="D5" s="2">
        <f>المخزون!E4</f>
        <v>15500</v>
      </c>
      <c r="E5" s="2">
        <f t="shared" ref="E5:E55" si="0">C5+D5</f>
        <v>16500</v>
      </c>
      <c r="F5" t="str">
        <f>المخزون!K4</f>
        <v>Cash Only</v>
      </c>
      <c r="G5" s="4">
        <v>0.85</v>
      </c>
      <c r="H5" s="2" t="e">
        <f t="shared" ref="H5:H57" si="1">F5*G5</f>
        <v>#VALUE!</v>
      </c>
      <c r="I5" s="2">
        <v>700</v>
      </c>
      <c r="J5" t="e">
        <f t="shared" ref="J5:J57" si="2">H5+I5</f>
        <v>#VALUE!</v>
      </c>
      <c r="K5" s="3" t="e">
        <f t="shared" ref="K5:K55" si="3">(E5+I5)-H5</f>
        <v>#VALUE!</v>
      </c>
      <c r="L5" s="21" t="s">
        <v>56</v>
      </c>
      <c r="M5" s="21"/>
      <c r="N5" s="21"/>
      <c r="O5" s="21"/>
      <c r="P5" s="21"/>
      <c r="Q5" s="21"/>
    </row>
    <row r="6" spans="1:17" x14ac:dyDescent="0.25">
      <c r="A6" t="str">
        <f>المخزون!A5</f>
        <v>Neta V</v>
      </c>
      <c r="B6">
        <f>المخزون!F5</f>
        <v>2022</v>
      </c>
      <c r="C6" s="2">
        <v>1000</v>
      </c>
      <c r="D6" s="2">
        <f>المخزون!E5</f>
        <v>9700</v>
      </c>
      <c r="E6" s="2">
        <f t="shared" si="0"/>
        <v>10700</v>
      </c>
      <c r="F6">
        <f>المخزون!K5</f>
        <v>12000</v>
      </c>
      <c r="G6" s="4">
        <v>0.85</v>
      </c>
      <c r="H6" s="2">
        <f t="shared" si="1"/>
        <v>10200</v>
      </c>
      <c r="I6" s="2">
        <v>700</v>
      </c>
      <c r="J6">
        <f t="shared" si="2"/>
        <v>10900</v>
      </c>
      <c r="K6" s="3">
        <f t="shared" si="3"/>
        <v>1200</v>
      </c>
      <c r="L6" s="21" t="s">
        <v>57</v>
      </c>
      <c r="M6" s="21"/>
      <c r="N6" s="21"/>
      <c r="O6" s="21"/>
      <c r="P6" s="21"/>
      <c r="Q6" s="21"/>
    </row>
    <row r="7" spans="1:17" x14ac:dyDescent="0.25">
      <c r="A7" t="str">
        <f>المخزون!A6</f>
        <v>Neta V</v>
      </c>
      <c r="B7">
        <f>المخزون!F6</f>
        <v>2021</v>
      </c>
      <c r="C7" s="2">
        <v>1000</v>
      </c>
      <c r="D7" s="2">
        <f>المخزون!E6</f>
        <v>8700</v>
      </c>
      <c r="E7" s="2">
        <f t="shared" si="0"/>
        <v>9700</v>
      </c>
      <c r="F7">
        <f>المخزون!K6</f>
        <v>10000</v>
      </c>
      <c r="G7" s="4">
        <v>0.85</v>
      </c>
      <c r="H7" s="2">
        <f t="shared" si="1"/>
        <v>8500</v>
      </c>
      <c r="I7" s="2">
        <v>700</v>
      </c>
      <c r="J7">
        <f t="shared" si="2"/>
        <v>9200</v>
      </c>
      <c r="K7" s="3">
        <f t="shared" si="3"/>
        <v>1900</v>
      </c>
      <c r="L7" s="21" t="s">
        <v>63</v>
      </c>
      <c r="M7" s="21"/>
      <c r="N7" s="21"/>
      <c r="O7" s="21"/>
      <c r="P7" s="21"/>
      <c r="Q7" s="21"/>
    </row>
    <row r="8" spans="1:17" x14ac:dyDescent="0.25">
      <c r="A8" t="str">
        <f>المخزون!A7</f>
        <v>Neta U / FULL</v>
      </c>
      <c r="B8">
        <f>المخزون!F7</f>
        <v>2022</v>
      </c>
      <c r="C8" s="2">
        <v>1000</v>
      </c>
      <c r="D8" s="2">
        <f>المخزون!E7</f>
        <v>15000</v>
      </c>
      <c r="E8" s="2">
        <f t="shared" si="0"/>
        <v>16000</v>
      </c>
      <c r="F8">
        <f>المخزون!K7</f>
        <v>17000</v>
      </c>
      <c r="G8" s="4">
        <v>0.85</v>
      </c>
      <c r="H8" s="2">
        <f t="shared" si="1"/>
        <v>14450</v>
      </c>
      <c r="I8" s="2">
        <v>700</v>
      </c>
      <c r="J8">
        <f t="shared" si="2"/>
        <v>15150</v>
      </c>
      <c r="K8" s="3">
        <f t="shared" si="3"/>
        <v>2250</v>
      </c>
      <c r="L8" s="21" t="s">
        <v>68</v>
      </c>
      <c r="M8" s="21"/>
      <c r="N8" s="21"/>
      <c r="O8" s="21"/>
      <c r="P8" s="21"/>
      <c r="Q8" s="21"/>
    </row>
    <row r="9" spans="1:17" x14ac:dyDescent="0.25">
      <c r="A9" t="str">
        <f>المخزون!A8</f>
        <v>Neta Aya</v>
      </c>
      <c r="B9">
        <f>المخزون!F8</f>
        <v>2023</v>
      </c>
      <c r="C9" s="2">
        <v>1000</v>
      </c>
      <c r="D9" s="2">
        <f>المخزون!E8</f>
        <v>10100</v>
      </c>
      <c r="E9" s="2">
        <f t="shared" si="0"/>
        <v>11100</v>
      </c>
      <c r="F9">
        <f>المخزون!K8</f>
        <v>12200</v>
      </c>
      <c r="G9" s="4">
        <v>0.85</v>
      </c>
      <c r="H9" s="2">
        <f t="shared" si="1"/>
        <v>10370</v>
      </c>
      <c r="I9" s="2">
        <v>700</v>
      </c>
      <c r="J9">
        <f t="shared" si="2"/>
        <v>11070</v>
      </c>
      <c r="K9" s="3">
        <f t="shared" si="3"/>
        <v>1430</v>
      </c>
      <c r="L9" s="22"/>
      <c r="M9" s="22"/>
      <c r="N9" s="22"/>
      <c r="O9" s="22"/>
      <c r="P9" s="22"/>
      <c r="Q9" s="22"/>
    </row>
    <row r="10" spans="1:17" x14ac:dyDescent="0.25">
      <c r="A10" t="str">
        <f>المخزون!A9</f>
        <v>Neta X</v>
      </c>
      <c r="B10">
        <f>المخزون!F9</f>
        <v>2023</v>
      </c>
      <c r="C10" s="2">
        <v>1000</v>
      </c>
      <c r="D10" s="2">
        <f>المخزون!E9</f>
        <v>15500</v>
      </c>
      <c r="E10" s="2">
        <f t="shared" si="0"/>
        <v>16500</v>
      </c>
      <c r="F10">
        <f>المخزون!K9</f>
        <v>18000</v>
      </c>
      <c r="G10" s="4">
        <v>0.85</v>
      </c>
      <c r="H10" s="2">
        <f t="shared" si="1"/>
        <v>15300</v>
      </c>
      <c r="I10" s="2">
        <v>700</v>
      </c>
      <c r="J10">
        <f t="shared" si="2"/>
        <v>16000</v>
      </c>
      <c r="K10" s="3">
        <f t="shared" si="3"/>
        <v>1900</v>
      </c>
      <c r="L10" s="22" t="s">
        <v>64</v>
      </c>
      <c r="M10" s="22"/>
      <c r="N10" s="22"/>
      <c r="O10" s="22"/>
      <c r="P10" s="22"/>
      <c r="Q10" s="22"/>
    </row>
    <row r="11" spans="1:17" x14ac:dyDescent="0.25">
      <c r="A11" t="str">
        <f>المخزون!A10</f>
        <v>BYD Yuan Plus</v>
      </c>
      <c r="B11">
        <f>المخزون!F10</f>
        <v>2023</v>
      </c>
      <c r="C11" s="2">
        <v>1000</v>
      </c>
      <c r="D11" s="2">
        <f>المخزون!E10</f>
        <v>17800</v>
      </c>
      <c r="E11" s="2">
        <f t="shared" si="0"/>
        <v>18800</v>
      </c>
      <c r="F11">
        <f>المخزون!K10</f>
        <v>20000</v>
      </c>
      <c r="G11" s="4">
        <v>0.85</v>
      </c>
      <c r="H11" s="2">
        <f t="shared" si="1"/>
        <v>17000</v>
      </c>
      <c r="I11" s="2">
        <v>700</v>
      </c>
      <c r="J11">
        <f t="shared" si="2"/>
        <v>17700</v>
      </c>
      <c r="K11" s="3">
        <f t="shared" si="3"/>
        <v>2500</v>
      </c>
    </row>
    <row r="12" spans="1:17" x14ac:dyDescent="0.25">
      <c r="A12" t="str">
        <f>المخزون!A11</f>
        <v>Nammi Box Dong Feng</v>
      </c>
      <c r="B12">
        <f>المخزون!F11</f>
        <v>2023</v>
      </c>
      <c r="C12" s="2">
        <v>1000</v>
      </c>
      <c r="D12" s="2">
        <f>المخزون!E11</f>
        <v>12000</v>
      </c>
      <c r="E12" s="2">
        <f t="shared" si="0"/>
        <v>13000</v>
      </c>
      <c r="F12" t="str">
        <f>المخزون!K11</f>
        <v>Cash Only</v>
      </c>
      <c r="G12" s="4">
        <v>0.85</v>
      </c>
      <c r="H12" s="2" t="e">
        <f t="shared" si="1"/>
        <v>#VALUE!</v>
      </c>
      <c r="I12" s="2">
        <v>700</v>
      </c>
      <c r="J12" t="e">
        <f t="shared" si="2"/>
        <v>#VALUE!</v>
      </c>
      <c r="K12" s="3" t="e">
        <f t="shared" si="3"/>
        <v>#VALUE!</v>
      </c>
    </row>
    <row r="13" spans="1:17" x14ac:dyDescent="0.25">
      <c r="A13" t="str">
        <f>المخزون!A12</f>
        <v>E Golf</v>
      </c>
      <c r="B13">
        <f>المخزون!F12</f>
        <v>2021</v>
      </c>
      <c r="C13" s="2">
        <v>1000</v>
      </c>
      <c r="D13" s="2">
        <f>المخزون!E12</f>
        <v>12300</v>
      </c>
      <c r="E13" s="2">
        <f t="shared" si="0"/>
        <v>13300</v>
      </c>
      <c r="F13">
        <f>المخزون!K12</f>
        <v>13500</v>
      </c>
      <c r="G13" s="4">
        <v>0.85</v>
      </c>
      <c r="H13" s="2">
        <f t="shared" si="1"/>
        <v>11475</v>
      </c>
      <c r="I13" s="2">
        <v>700</v>
      </c>
      <c r="J13">
        <f t="shared" si="2"/>
        <v>12175</v>
      </c>
      <c r="K13" s="3">
        <f t="shared" si="3"/>
        <v>2525</v>
      </c>
    </row>
    <row r="14" spans="1:17" x14ac:dyDescent="0.25">
      <c r="A14" t="str">
        <f>المخزون!A13</f>
        <v>LaVida</v>
      </c>
      <c r="B14">
        <f>المخزون!F13</f>
        <v>2019</v>
      </c>
      <c r="C14" s="2">
        <v>1000</v>
      </c>
      <c r="D14" s="2">
        <f>المخزون!E13</f>
        <v>10700</v>
      </c>
      <c r="E14" s="2">
        <f t="shared" si="0"/>
        <v>11700</v>
      </c>
      <c r="F14">
        <f>المخزون!K13</f>
        <v>12000</v>
      </c>
      <c r="G14" s="4">
        <v>0.85</v>
      </c>
      <c r="H14" s="2">
        <f t="shared" si="1"/>
        <v>10200</v>
      </c>
      <c r="I14" s="2">
        <v>700</v>
      </c>
      <c r="J14">
        <f t="shared" si="2"/>
        <v>10900</v>
      </c>
      <c r="K14" s="3">
        <f t="shared" si="3"/>
        <v>2200</v>
      </c>
    </row>
    <row r="15" spans="1:17" x14ac:dyDescent="0.25">
      <c r="A15" t="str">
        <f>المخزون!A14</f>
        <v>LaVida</v>
      </c>
      <c r="B15">
        <f>المخزون!F14</f>
        <v>2021</v>
      </c>
      <c r="C15" s="2">
        <v>1000</v>
      </c>
      <c r="D15" s="2">
        <f>المخزون!E14</f>
        <v>11500</v>
      </c>
      <c r="E15" s="2">
        <f t="shared" si="0"/>
        <v>12500</v>
      </c>
      <c r="F15">
        <f>المخزون!K14</f>
        <v>14000</v>
      </c>
      <c r="G15" s="4">
        <v>0.85</v>
      </c>
      <c r="H15" s="2">
        <f t="shared" si="1"/>
        <v>11900</v>
      </c>
      <c r="I15" s="2">
        <v>700</v>
      </c>
      <c r="J15">
        <f t="shared" si="2"/>
        <v>12600</v>
      </c>
      <c r="K15" s="3">
        <f t="shared" si="3"/>
        <v>1300</v>
      </c>
    </row>
    <row r="16" spans="1:17" x14ac:dyDescent="0.25">
      <c r="A16" t="str">
        <f>المخزون!A15</f>
        <v>Nano</v>
      </c>
      <c r="B16">
        <f>المخزون!F15</f>
        <v>2022</v>
      </c>
      <c r="C16" s="2">
        <v>1000</v>
      </c>
      <c r="D16" s="2">
        <f>المخزون!E15</f>
        <v>8250</v>
      </c>
      <c r="E16" s="2">
        <f t="shared" si="0"/>
        <v>9250</v>
      </c>
      <c r="F16">
        <f>المخزون!K15</f>
        <v>11000</v>
      </c>
      <c r="G16" s="4">
        <v>0.85</v>
      </c>
      <c r="H16" s="2">
        <f t="shared" si="1"/>
        <v>9350</v>
      </c>
      <c r="I16" s="2">
        <v>700</v>
      </c>
      <c r="J16">
        <f t="shared" si="2"/>
        <v>10050</v>
      </c>
      <c r="K16" s="3">
        <f t="shared" si="3"/>
        <v>600</v>
      </c>
    </row>
    <row r="17" spans="1:11" x14ac:dyDescent="0.25">
      <c r="A17" t="str">
        <f>المخزون!A16</f>
        <v>Honda NS1</v>
      </c>
      <c r="B17">
        <f>المخزون!F16</f>
        <v>2023</v>
      </c>
      <c r="C17" s="2">
        <v>1000</v>
      </c>
      <c r="D17" s="2">
        <f>المخزون!E16</f>
        <v>16700</v>
      </c>
      <c r="E17" s="2">
        <f t="shared" si="0"/>
        <v>17700</v>
      </c>
      <c r="F17">
        <f>المخزون!K16</f>
        <v>19000</v>
      </c>
      <c r="G17" s="4">
        <v>0.85</v>
      </c>
      <c r="H17" s="2">
        <f t="shared" si="1"/>
        <v>16150</v>
      </c>
      <c r="I17" s="2">
        <v>700</v>
      </c>
      <c r="J17">
        <f t="shared" si="2"/>
        <v>16850</v>
      </c>
      <c r="K17" s="3">
        <f t="shared" si="3"/>
        <v>2250</v>
      </c>
    </row>
    <row r="18" spans="1:11" x14ac:dyDescent="0.25">
      <c r="A18" t="str">
        <f>المخزون!A17</f>
        <v>BYD seagall</v>
      </c>
      <c r="B18">
        <f>المخزون!F17</f>
        <v>2024</v>
      </c>
      <c r="C18" s="2">
        <v>1000</v>
      </c>
      <c r="D18" s="2">
        <f>المخزون!E17</f>
        <v>13250</v>
      </c>
      <c r="E18" s="2">
        <f t="shared" si="0"/>
        <v>14250</v>
      </c>
      <c r="F18">
        <f>المخزون!K17</f>
        <v>15000</v>
      </c>
      <c r="G18" s="4">
        <v>0.85</v>
      </c>
      <c r="H18" s="2">
        <f t="shared" si="1"/>
        <v>12750</v>
      </c>
      <c r="I18" s="2">
        <v>700</v>
      </c>
      <c r="J18">
        <f t="shared" si="2"/>
        <v>13450</v>
      </c>
      <c r="K18" s="3">
        <f t="shared" si="3"/>
        <v>2200</v>
      </c>
    </row>
    <row r="19" spans="1:11" x14ac:dyDescent="0.25">
      <c r="A19" t="str">
        <f>المخزون!A18</f>
        <v>toyota BZ3</v>
      </c>
      <c r="B19">
        <f>المخزون!F18</f>
        <v>2023</v>
      </c>
      <c r="C19" s="2">
        <v>1000</v>
      </c>
      <c r="D19" s="2">
        <f>المخزون!E18</f>
        <v>18000</v>
      </c>
      <c r="E19" s="2">
        <f t="shared" si="0"/>
        <v>19000</v>
      </c>
      <c r="F19">
        <f>المخزون!K18</f>
        <v>20500</v>
      </c>
      <c r="G19" s="4">
        <v>0.85</v>
      </c>
      <c r="H19" s="2">
        <f t="shared" si="1"/>
        <v>17425</v>
      </c>
      <c r="I19" s="2">
        <v>700</v>
      </c>
      <c r="J19">
        <f t="shared" si="2"/>
        <v>18125</v>
      </c>
      <c r="K19" s="3">
        <f t="shared" si="3"/>
        <v>2275</v>
      </c>
    </row>
    <row r="20" spans="1:11" x14ac:dyDescent="0.25">
      <c r="A20" t="str">
        <f>المخزون!A19</f>
        <v>KIA EV5</v>
      </c>
      <c r="B20">
        <f>المخزون!F19</f>
        <v>2023</v>
      </c>
      <c r="C20" s="2">
        <v>1000</v>
      </c>
      <c r="D20" s="2">
        <f>المخزون!E19</f>
        <v>22000</v>
      </c>
      <c r="E20" s="2">
        <f t="shared" si="0"/>
        <v>23000</v>
      </c>
      <c r="F20">
        <f>المخزون!K19</f>
        <v>25000</v>
      </c>
      <c r="G20" s="4">
        <v>0.85</v>
      </c>
      <c r="H20" s="2">
        <f t="shared" si="1"/>
        <v>21250</v>
      </c>
      <c r="I20" s="2">
        <v>700</v>
      </c>
      <c r="J20">
        <f t="shared" si="2"/>
        <v>21950</v>
      </c>
      <c r="K20" s="3">
        <f t="shared" si="3"/>
        <v>2450</v>
      </c>
    </row>
    <row r="21" spans="1:11" x14ac:dyDescent="0.25">
      <c r="A21" t="str">
        <f>المخزون!A20</f>
        <v>QUIN BYD EV</v>
      </c>
      <c r="B21">
        <f>المخزون!F20</f>
        <v>2023</v>
      </c>
      <c r="C21" s="2">
        <v>1000</v>
      </c>
      <c r="D21" s="2">
        <f>المخزون!E20</f>
        <v>13000</v>
      </c>
      <c r="E21" s="2">
        <f t="shared" si="0"/>
        <v>14000</v>
      </c>
      <c r="F21">
        <f>المخزون!K20</f>
        <v>15000</v>
      </c>
      <c r="G21" s="4">
        <v>0.85</v>
      </c>
      <c r="H21" s="2">
        <f t="shared" si="1"/>
        <v>12750</v>
      </c>
      <c r="I21" s="2">
        <v>700</v>
      </c>
      <c r="J21">
        <f t="shared" si="2"/>
        <v>13450</v>
      </c>
      <c r="K21" s="3">
        <f t="shared" si="3"/>
        <v>1950</v>
      </c>
    </row>
    <row r="22" spans="1:11" x14ac:dyDescent="0.25">
      <c r="A22" t="str">
        <f>المخزون!A21</f>
        <v>BYD E2 20 305</v>
      </c>
      <c r="B22">
        <f>المخزون!F21</f>
        <v>2020</v>
      </c>
      <c r="C22" s="2">
        <v>1000</v>
      </c>
      <c r="D22" s="2">
        <f>المخزون!E21</f>
        <v>11300</v>
      </c>
      <c r="E22" s="2">
        <f t="shared" si="0"/>
        <v>12300</v>
      </c>
      <c r="F22">
        <f>المخزون!K21</f>
        <v>13000</v>
      </c>
      <c r="G22" s="4">
        <v>0.85</v>
      </c>
      <c r="H22" s="2">
        <f t="shared" si="1"/>
        <v>11050</v>
      </c>
      <c r="I22" s="2">
        <v>700</v>
      </c>
      <c r="J22">
        <f t="shared" si="2"/>
        <v>11750</v>
      </c>
      <c r="K22" s="3">
        <f t="shared" si="3"/>
        <v>1950</v>
      </c>
    </row>
    <row r="23" spans="1:11" x14ac:dyDescent="0.25">
      <c r="A23" t="str">
        <f>المخزون!A22</f>
        <v xml:space="preserve">BYD QIN + EV </v>
      </c>
      <c r="B23">
        <f>المخزون!F22</f>
        <v>2020</v>
      </c>
      <c r="C23" s="2">
        <v>1000</v>
      </c>
      <c r="D23" s="2">
        <f>المخزون!E22</f>
        <v>10350</v>
      </c>
      <c r="E23" s="2">
        <f t="shared" si="0"/>
        <v>11350</v>
      </c>
      <c r="F23">
        <f>المخزون!K22</f>
        <v>12500</v>
      </c>
      <c r="G23" s="4">
        <v>0.85</v>
      </c>
      <c r="H23" s="2">
        <f t="shared" si="1"/>
        <v>10625</v>
      </c>
      <c r="I23" s="2">
        <v>700</v>
      </c>
      <c r="J23">
        <f t="shared" si="2"/>
        <v>11325</v>
      </c>
      <c r="K23" s="3">
        <f t="shared" si="3"/>
        <v>1425</v>
      </c>
    </row>
    <row r="24" spans="1:11" x14ac:dyDescent="0.25">
      <c r="A24" t="str">
        <f>المخزون!A23</f>
        <v>HONGQUI EMQ5</v>
      </c>
      <c r="B24">
        <f>المخزون!F23</f>
        <v>2022</v>
      </c>
      <c r="C24" s="2">
        <v>1000</v>
      </c>
      <c r="D24" s="2">
        <f>المخزون!E23</f>
        <v>14250</v>
      </c>
      <c r="E24" s="2">
        <f t="shared" si="0"/>
        <v>15250</v>
      </c>
      <c r="F24">
        <f>المخزون!K23</f>
        <v>16500</v>
      </c>
      <c r="G24" s="4">
        <v>0.85</v>
      </c>
      <c r="H24" s="2">
        <f t="shared" si="1"/>
        <v>14025</v>
      </c>
      <c r="I24" s="2">
        <v>700</v>
      </c>
      <c r="J24">
        <f t="shared" si="2"/>
        <v>14725</v>
      </c>
      <c r="K24" s="3">
        <f t="shared" si="3"/>
        <v>1925</v>
      </c>
    </row>
    <row r="25" spans="1:11" x14ac:dyDescent="0.25">
      <c r="A25" t="str">
        <f>المخزون!A24</f>
        <v>LEAP T03</v>
      </c>
      <c r="B25">
        <f>المخزون!F24</f>
        <v>2024</v>
      </c>
      <c r="C25" s="2">
        <v>1000</v>
      </c>
      <c r="D25" s="2">
        <f>المخزون!E24</f>
        <v>9500</v>
      </c>
      <c r="E25" s="2">
        <f t="shared" si="0"/>
        <v>10500</v>
      </c>
      <c r="F25">
        <f>المخزون!K24</f>
        <v>11500</v>
      </c>
      <c r="G25" s="4">
        <v>0.85</v>
      </c>
      <c r="H25" s="2">
        <f t="shared" si="1"/>
        <v>9775</v>
      </c>
      <c r="I25" s="2">
        <v>700</v>
      </c>
      <c r="J25">
        <f t="shared" si="2"/>
        <v>10475</v>
      </c>
      <c r="K25" s="3">
        <f t="shared" si="3"/>
        <v>1425</v>
      </c>
    </row>
    <row r="26" spans="1:11" x14ac:dyDescent="0.25">
      <c r="A26" t="str">
        <f>المخزون!A25</f>
        <v>FORTHING S60</v>
      </c>
      <c r="B26">
        <f>المخزون!F25</f>
        <v>2023</v>
      </c>
      <c r="C26" s="2">
        <v>1000</v>
      </c>
      <c r="D26" s="2">
        <f>المخزون!E25</f>
        <v>13200</v>
      </c>
      <c r="E26" s="2">
        <f t="shared" si="0"/>
        <v>14200</v>
      </c>
      <c r="F26">
        <f>المخزون!K25</f>
        <v>15000</v>
      </c>
      <c r="G26" s="4">
        <v>0.85</v>
      </c>
      <c r="H26" s="2">
        <f t="shared" si="1"/>
        <v>12750</v>
      </c>
      <c r="I26" s="2">
        <v>700</v>
      </c>
      <c r="J26">
        <f t="shared" si="2"/>
        <v>13450</v>
      </c>
      <c r="K26" s="3">
        <f t="shared" si="3"/>
        <v>2150</v>
      </c>
    </row>
    <row r="27" spans="1:11" x14ac:dyDescent="0.25">
      <c r="A27" t="str">
        <f>المخزون!A26</f>
        <v xml:space="preserve">NANO </v>
      </c>
      <c r="B27">
        <f>المخزون!F26</f>
        <v>2022</v>
      </c>
      <c r="C27" s="2">
        <v>1000</v>
      </c>
      <c r="D27" s="2">
        <f>المخزون!E26</f>
        <v>8700</v>
      </c>
      <c r="E27" s="2">
        <f t="shared" si="0"/>
        <v>9700</v>
      </c>
      <c r="F27">
        <f>المخزون!K26</f>
        <v>11000</v>
      </c>
      <c r="G27" s="4">
        <v>0.85</v>
      </c>
      <c r="H27" s="2">
        <f t="shared" si="1"/>
        <v>9350</v>
      </c>
      <c r="I27" s="2">
        <v>700</v>
      </c>
      <c r="J27">
        <f t="shared" si="2"/>
        <v>10050</v>
      </c>
      <c r="K27" s="3">
        <f t="shared" si="3"/>
        <v>1050</v>
      </c>
    </row>
    <row r="28" spans="1:11" x14ac:dyDescent="0.25">
      <c r="A28" t="str">
        <f>المخزون!A27</f>
        <v>LEAP T03</v>
      </c>
      <c r="B28">
        <f>المخزون!F27</f>
        <v>2022</v>
      </c>
      <c r="C28" s="2">
        <v>1000</v>
      </c>
      <c r="D28" s="2">
        <f>المخزون!E27</f>
        <v>7700</v>
      </c>
      <c r="E28" s="2">
        <f t="shared" si="0"/>
        <v>8700</v>
      </c>
      <c r="F28">
        <f>المخزون!K27</f>
        <v>0</v>
      </c>
      <c r="G28" s="4">
        <v>0.85</v>
      </c>
      <c r="H28" s="2">
        <f t="shared" si="1"/>
        <v>0</v>
      </c>
      <c r="I28" s="2">
        <v>700</v>
      </c>
      <c r="J28">
        <f t="shared" si="2"/>
        <v>700</v>
      </c>
      <c r="K28" s="3">
        <f t="shared" si="3"/>
        <v>9400</v>
      </c>
    </row>
    <row r="29" spans="1:11" x14ac:dyDescent="0.25">
      <c r="A29" t="str">
        <f>المخزون!A28</f>
        <v>Nissan Sylphi</v>
      </c>
      <c r="B29">
        <f>المخزون!F28</f>
        <v>2019</v>
      </c>
      <c r="C29" s="2">
        <v>1000</v>
      </c>
      <c r="D29" s="2">
        <f>المخزون!E28</f>
        <v>8700</v>
      </c>
      <c r="E29" s="2">
        <f t="shared" si="0"/>
        <v>9700</v>
      </c>
      <c r="F29">
        <f>المخزون!K28</f>
        <v>13000</v>
      </c>
      <c r="G29" s="4">
        <v>0.85</v>
      </c>
      <c r="H29" s="2">
        <f t="shared" si="1"/>
        <v>11050</v>
      </c>
      <c r="I29" s="2">
        <v>700</v>
      </c>
      <c r="J29">
        <f t="shared" si="2"/>
        <v>11750</v>
      </c>
      <c r="K29" s="3">
        <f t="shared" si="3"/>
        <v>-650</v>
      </c>
    </row>
    <row r="30" spans="1:11" x14ac:dyDescent="0.25">
      <c r="A30" t="str">
        <f>المخزون!A29</f>
        <v>Dong Feng Mage</v>
      </c>
      <c r="B30">
        <f>المخزون!F29</f>
        <v>2026</v>
      </c>
      <c r="C30" s="2">
        <v>1000</v>
      </c>
      <c r="D30" s="2">
        <f>المخزون!E29</f>
        <v>0</v>
      </c>
      <c r="E30" s="2">
        <f t="shared" si="0"/>
        <v>1000</v>
      </c>
      <c r="F30">
        <f>المخزون!K29</f>
        <v>0</v>
      </c>
      <c r="G30" s="4">
        <v>0.85</v>
      </c>
      <c r="H30" s="2">
        <f t="shared" si="1"/>
        <v>0</v>
      </c>
      <c r="I30" s="2">
        <v>700</v>
      </c>
      <c r="J30">
        <f t="shared" si="2"/>
        <v>700</v>
      </c>
      <c r="K30" s="3">
        <f t="shared" si="3"/>
        <v>1700</v>
      </c>
    </row>
    <row r="31" spans="1:11" x14ac:dyDescent="0.25">
      <c r="A31" t="str">
        <f>المخزون!A30</f>
        <v>BYD SONG plus</v>
      </c>
      <c r="B31">
        <f>المخزون!F30</f>
        <v>2024</v>
      </c>
      <c r="C31" s="2">
        <v>1000</v>
      </c>
      <c r="D31" s="2">
        <f>المخزون!E30</f>
        <v>24250</v>
      </c>
      <c r="E31" s="2">
        <f t="shared" si="0"/>
        <v>25250</v>
      </c>
      <c r="F31">
        <f>المخزون!K30</f>
        <v>0</v>
      </c>
      <c r="G31" s="4">
        <v>0.85</v>
      </c>
      <c r="H31" s="2">
        <f t="shared" si="1"/>
        <v>0</v>
      </c>
      <c r="I31" s="2">
        <v>700</v>
      </c>
      <c r="J31">
        <f t="shared" si="2"/>
        <v>700</v>
      </c>
      <c r="K31" s="3">
        <f t="shared" si="3"/>
        <v>25950</v>
      </c>
    </row>
    <row r="32" spans="1:11" x14ac:dyDescent="0.25">
      <c r="A32" t="str">
        <f>المخزون!A31</f>
        <v>Toyota BZ4</v>
      </c>
      <c r="B32">
        <f>المخزون!F31</f>
        <v>2022</v>
      </c>
      <c r="C32" s="2">
        <v>1000</v>
      </c>
      <c r="D32" s="2">
        <f>المخزون!E31</f>
        <v>22000</v>
      </c>
      <c r="E32" s="2">
        <f t="shared" si="0"/>
        <v>23000</v>
      </c>
      <c r="F32">
        <f>المخزون!K31</f>
        <v>0</v>
      </c>
      <c r="G32" s="4">
        <v>0.85</v>
      </c>
      <c r="H32" s="2">
        <f t="shared" si="1"/>
        <v>0</v>
      </c>
      <c r="I32" s="2">
        <v>700</v>
      </c>
      <c r="J32">
        <f t="shared" si="2"/>
        <v>700</v>
      </c>
      <c r="K32" s="3">
        <f t="shared" si="3"/>
        <v>23700</v>
      </c>
    </row>
    <row r="33" spans="1:11" x14ac:dyDescent="0.25">
      <c r="A33" t="str">
        <f>المخزون!A32</f>
        <v>Changan Eado</v>
      </c>
      <c r="B33">
        <f>المخزون!F32</f>
        <v>2026</v>
      </c>
      <c r="C33" s="2">
        <v>1000</v>
      </c>
      <c r="D33" s="2">
        <f>المخزون!E32</f>
        <v>17500</v>
      </c>
      <c r="E33" s="2">
        <f t="shared" si="0"/>
        <v>18500</v>
      </c>
      <c r="F33" t="str">
        <f>المخزون!K32</f>
        <v>Cash Only</v>
      </c>
      <c r="G33" s="4">
        <v>0.85</v>
      </c>
      <c r="H33" s="2" t="e">
        <f t="shared" si="1"/>
        <v>#VALUE!</v>
      </c>
      <c r="I33" s="2">
        <v>700</v>
      </c>
      <c r="J33" t="e">
        <f t="shared" si="2"/>
        <v>#VALUE!</v>
      </c>
      <c r="K33" s="3" t="e">
        <f t="shared" si="3"/>
        <v>#VALUE!</v>
      </c>
    </row>
    <row r="34" spans="1:11" x14ac:dyDescent="0.25">
      <c r="A34" t="str">
        <f>المخزون!A33</f>
        <v>Changan Eado</v>
      </c>
      <c r="B34">
        <f>المخزون!F33</f>
        <v>2026</v>
      </c>
      <c r="C34" s="2">
        <v>1000</v>
      </c>
      <c r="D34" s="2">
        <f>المخزون!E33</f>
        <v>16500</v>
      </c>
      <c r="E34" s="2">
        <f t="shared" si="0"/>
        <v>17500</v>
      </c>
      <c r="F34" t="str">
        <f>المخزون!K33</f>
        <v>Cash Only</v>
      </c>
      <c r="G34" s="4">
        <v>0.85</v>
      </c>
      <c r="H34" s="2" t="e">
        <f t="shared" si="1"/>
        <v>#VALUE!</v>
      </c>
      <c r="I34" s="2">
        <v>700</v>
      </c>
      <c r="J34" t="e">
        <f t="shared" si="2"/>
        <v>#VALUE!</v>
      </c>
      <c r="K34" s="3" t="e">
        <f t="shared" si="3"/>
        <v>#VALUE!</v>
      </c>
    </row>
    <row r="35" spans="1:11" x14ac:dyDescent="0.25">
      <c r="A35" t="str">
        <f>المخزون!A34</f>
        <v>Changan Eado</v>
      </c>
      <c r="B35">
        <f>المخزون!F34</f>
        <v>2023</v>
      </c>
      <c r="C35" s="2">
        <v>1000</v>
      </c>
      <c r="D35" s="2">
        <f>المخزون!E34</f>
        <v>14500</v>
      </c>
      <c r="E35" s="2">
        <f t="shared" si="0"/>
        <v>15500</v>
      </c>
      <c r="F35" t="str">
        <f>المخزون!K34</f>
        <v>Cash Only</v>
      </c>
      <c r="G35" s="4">
        <v>0.85</v>
      </c>
      <c r="H35" s="2" t="e">
        <f t="shared" si="1"/>
        <v>#VALUE!</v>
      </c>
      <c r="I35" s="2">
        <v>700</v>
      </c>
      <c r="J35" t="e">
        <f t="shared" si="2"/>
        <v>#VALUE!</v>
      </c>
      <c r="K35" s="3" t="e">
        <f t="shared" si="3"/>
        <v>#VALUE!</v>
      </c>
    </row>
    <row r="36" spans="1:11" x14ac:dyDescent="0.25">
      <c r="A36" t="str">
        <f>المخزون!A35</f>
        <v>Changan Eado</v>
      </c>
      <c r="B36">
        <f>المخزون!F35</f>
        <v>2022</v>
      </c>
      <c r="C36" s="2">
        <v>1000</v>
      </c>
      <c r="D36" s="2">
        <f>المخزون!E35</f>
        <v>13000</v>
      </c>
      <c r="E36" s="2">
        <f t="shared" si="0"/>
        <v>14000</v>
      </c>
      <c r="F36" t="str">
        <f>المخزون!K35</f>
        <v>Cash Only</v>
      </c>
      <c r="G36" s="4">
        <v>0.85</v>
      </c>
      <c r="H36" s="2" t="e">
        <f t="shared" si="1"/>
        <v>#VALUE!</v>
      </c>
      <c r="I36" s="2">
        <v>700</v>
      </c>
      <c r="J36" t="e">
        <f t="shared" si="2"/>
        <v>#VALUE!</v>
      </c>
      <c r="K36" s="3" t="e">
        <f t="shared" si="3"/>
        <v>#VALUE!</v>
      </c>
    </row>
    <row r="37" spans="1:11" x14ac:dyDescent="0.25">
      <c r="A37" t="str">
        <f>المخزون!A36</f>
        <v>Song pro</v>
      </c>
      <c r="B37">
        <f>المخزون!F36</f>
        <v>2025</v>
      </c>
      <c r="C37" s="2">
        <v>1000</v>
      </c>
      <c r="D37" s="2">
        <f>المخزون!E36</f>
        <v>22000</v>
      </c>
      <c r="E37" s="2">
        <f t="shared" si="0"/>
        <v>23000</v>
      </c>
      <c r="F37">
        <f>المخزون!K36</f>
        <v>0</v>
      </c>
      <c r="G37" s="4">
        <v>0.85</v>
      </c>
      <c r="H37" s="2">
        <f t="shared" si="1"/>
        <v>0</v>
      </c>
      <c r="I37" s="2">
        <v>700</v>
      </c>
      <c r="J37">
        <f t="shared" si="2"/>
        <v>700</v>
      </c>
      <c r="K37" s="3">
        <f t="shared" si="3"/>
        <v>23700</v>
      </c>
    </row>
    <row r="38" spans="1:11" x14ac:dyDescent="0.25">
      <c r="A38" t="str">
        <f>المخزون!A37</f>
        <v>BYD QUIN L</v>
      </c>
      <c r="B38">
        <f>المخزون!F37</f>
        <v>2025</v>
      </c>
      <c r="C38" s="2">
        <v>1000</v>
      </c>
      <c r="D38" s="2">
        <f>المخزون!E37</f>
        <v>0</v>
      </c>
      <c r="E38" s="2">
        <f t="shared" si="0"/>
        <v>1000</v>
      </c>
      <c r="F38">
        <f>المخزون!K37</f>
        <v>0</v>
      </c>
      <c r="G38" s="4">
        <v>0.85</v>
      </c>
      <c r="H38" s="2">
        <f t="shared" si="1"/>
        <v>0</v>
      </c>
      <c r="I38" s="2">
        <v>700</v>
      </c>
      <c r="J38">
        <f t="shared" si="2"/>
        <v>700</v>
      </c>
      <c r="K38" s="3">
        <f t="shared" si="3"/>
        <v>1700</v>
      </c>
    </row>
    <row r="39" spans="1:11" x14ac:dyDescent="0.25">
      <c r="A39">
        <f>المخزون!A38</f>
        <v>0</v>
      </c>
      <c r="B39">
        <f>المخزون!F38</f>
        <v>0</v>
      </c>
      <c r="C39" s="2">
        <v>1000</v>
      </c>
      <c r="D39" s="2">
        <f>المخزون!E38</f>
        <v>0</v>
      </c>
      <c r="E39" s="2">
        <f t="shared" si="0"/>
        <v>1000</v>
      </c>
      <c r="F39">
        <f>المخزون!K38</f>
        <v>0</v>
      </c>
      <c r="G39" s="4">
        <v>0.85</v>
      </c>
      <c r="H39" s="2">
        <f t="shared" si="1"/>
        <v>0</v>
      </c>
      <c r="I39" s="2">
        <v>700</v>
      </c>
      <c r="J39">
        <f t="shared" si="2"/>
        <v>700</v>
      </c>
      <c r="K39" s="3">
        <f t="shared" si="3"/>
        <v>1700</v>
      </c>
    </row>
    <row r="40" spans="1:11" x14ac:dyDescent="0.25">
      <c r="A40">
        <f>المخزون!A39</f>
        <v>0</v>
      </c>
      <c r="B40">
        <f>المخزون!F39</f>
        <v>0</v>
      </c>
      <c r="C40" s="2">
        <v>1000</v>
      </c>
      <c r="D40" s="2">
        <f>المخزون!E39</f>
        <v>0</v>
      </c>
      <c r="E40" s="2">
        <f t="shared" si="0"/>
        <v>1000</v>
      </c>
      <c r="F40">
        <f>المخزون!K39</f>
        <v>0</v>
      </c>
      <c r="G40" s="4">
        <v>0.85</v>
      </c>
      <c r="H40" s="2">
        <f t="shared" si="1"/>
        <v>0</v>
      </c>
      <c r="I40" s="2">
        <v>700</v>
      </c>
      <c r="J40">
        <f t="shared" si="2"/>
        <v>700</v>
      </c>
      <c r="K40" s="3">
        <f t="shared" si="3"/>
        <v>1700</v>
      </c>
    </row>
    <row r="41" spans="1:11" x14ac:dyDescent="0.25">
      <c r="A41">
        <f>المخزون!A40</f>
        <v>0</v>
      </c>
      <c r="B41">
        <f>المخزون!F40</f>
        <v>0</v>
      </c>
      <c r="C41" s="2">
        <v>1000</v>
      </c>
      <c r="D41" s="2">
        <f>المخزون!E40</f>
        <v>0</v>
      </c>
      <c r="E41" s="2">
        <f t="shared" si="0"/>
        <v>1000</v>
      </c>
      <c r="F41">
        <f>المخزون!K40</f>
        <v>0</v>
      </c>
      <c r="G41" s="4">
        <v>0.85</v>
      </c>
      <c r="H41" s="2">
        <f t="shared" si="1"/>
        <v>0</v>
      </c>
      <c r="I41" s="2">
        <v>700</v>
      </c>
      <c r="J41">
        <f t="shared" si="2"/>
        <v>700</v>
      </c>
      <c r="K41" s="3">
        <f t="shared" si="3"/>
        <v>1700</v>
      </c>
    </row>
    <row r="42" spans="1:11" x14ac:dyDescent="0.25">
      <c r="A42">
        <f>المخزون!A41</f>
        <v>0</v>
      </c>
      <c r="B42">
        <f>المخزون!F41</f>
        <v>0</v>
      </c>
      <c r="C42" s="2">
        <v>1000</v>
      </c>
      <c r="D42" s="2">
        <f>المخزون!E41</f>
        <v>0</v>
      </c>
      <c r="E42" s="2">
        <f t="shared" si="0"/>
        <v>1000</v>
      </c>
      <c r="F42">
        <f>المخزون!K41</f>
        <v>0</v>
      </c>
      <c r="G42" s="4">
        <v>0.85</v>
      </c>
      <c r="H42" s="2">
        <f t="shared" si="1"/>
        <v>0</v>
      </c>
      <c r="I42" s="2">
        <v>700</v>
      </c>
      <c r="J42">
        <f t="shared" si="2"/>
        <v>700</v>
      </c>
      <c r="K42" s="3">
        <f t="shared" si="3"/>
        <v>1700</v>
      </c>
    </row>
    <row r="43" spans="1:11" x14ac:dyDescent="0.25">
      <c r="A43">
        <f>المخزون!A42</f>
        <v>0</v>
      </c>
      <c r="B43">
        <f>المخزون!F42</f>
        <v>0</v>
      </c>
      <c r="C43" s="2">
        <v>1000</v>
      </c>
      <c r="D43" s="2">
        <f>المخزون!E42</f>
        <v>0</v>
      </c>
      <c r="E43" s="2">
        <f t="shared" si="0"/>
        <v>1000</v>
      </c>
      <c r="F43">
        <f>المخزون!K42</f>
        <v>0</v>
      </c>
      <c r="G43" s="4">
        <v>0.85</v>
      </c>
      <c r="H43" s="2">
        <f t="shared" si="1"/>
        <v>0</v>
      </c>
      <c r="I43" s="2">
        <v>700</v>
      </c>
      <c r="J43">
        <f t="shared" si="2"/>
        <v>700</v>
      </c>
      <c r="K43" s="3">
        <f t="shared" si="3"/>
        <v>1700</v>
      </c>
    </row>
    <row r="44" spans="1:11" x14ac:dyDescent="0.25">
      <c r="A44">
        <f>المخزون!A43</f>
        <v>0</v>
      </c>
      <c r="B44">
        <f>المخزون!F43</f>
        <v>0</v>
      </c>
      <c r="C44" s="2">
        <v>1000</v>
      </c>
      <c r="D44" s="2">
        <f>المخزون!E43</f>
        <v>0</v>
      </c>
      <c r="E44" s="2">
        <f t="shared" si="0"/>
        <v>1000</v>
      </c>
      <c r="F44">
        <f>المخزون!K43</f>
        <v>0</v>
      </c>
      <c r="G44" s="4">
        <v>0.85</v>
      </c>
      <c r="H44" s="2">
        <f t="shared" si="1"/>
        <v>0</v>
      </c>
      <c r="I44" s="2">
        <v>700</v>
      </c>
      <c r="J44">
        <f t="shared" si="2"/>
        <v>700</v>
      </c>
      <c r="K44" s="3">
        <f t="shared" si="3"/>
        <v>1700</v>
      </c>
    </row>
    <row r="45" spans="1:11" x14ac:dyDescent="0.25">
      <c r="A45">
        <f>المخزون!A44</f>
        <v>0</v>
      </c>
      <c r="B45">
        <f>المخزون!F44</f>
        <v>0</v>
      </c>
      <c r="C45" s="2">
        <v>1000</v>
      </c>
      <c r="D45" s="2">
        <f>المخزون!E44</f>
        <v>0</v>
      </c>
      <c r="E45" s="2">
        <f t="shared" si="0"/>
        <v>1000</v>
      </c>
      <c r="F45">
        <f>المخزون!K44</f>
        <v>0</v>
      </c>
      <c r="G45" s="4">
        <v>0.85</v>
      </c>
      <c r="H45" s="2">
        <f t="shared" si="1"/>
        <v>0</v>
      </c>
      <c r="I45" s="2">
        <v>700</v>
      </c>
      <c r="J45">
        <f t="shared" si="2"/>
        <v>700</v>
      </c>
      <c r="K45" s="3">
        <f t="shared" si="3"/>
        <v>1700</v>
      </c>
    </row>
    <row r="46" spans="1:11" x14ac:dyDescent="0.25">
      <c r="A46">
        <f>المخزون!A45</f>
        <v>0</v>
      </c>
      <c r="B46">
        <f>المخزون!F45</f>
        <v>0</v>
      </c>
      <c r="C46" s="2">
        <v>1000</v>
      </c>
      <c r="D46" s="2">
        <f>المخزون!E45</f>
        <v>0</v>
      </c>
      <c r="E46" s="2">
        <f t="shared" si="0"/>
        <v>1000</v>
      </c>
      <c r="F46">
        <f>المخزون!K45</f>
        <v>0</v>
      </c>
      <c r="G46" s="4">
        <v>0.85</v>
      </c>
      <c r="H46" s="2">
        <f t="shared" si="1"/>
        <v>0</v>
      </c>
      <c r="I46" s="2">
        <v>700</v>
      </c>
      <c r="J46">
        <f t="shared" si="2"/>
        <v>700</v>
      </c>
      <c r="K46" s="3">
        <f t="shared" si="3"/>
        <v>1700</v>
      </c>
    </row>
    <row r="47" spans="1:11" x14ac:dyDescent="0.25">
      <c r="A47">
        <f>المخزون!A46</f>
        <v>0</v>
      </c>
      <c r="B47">
        <f>المخزون!F46</f>
        <v>0</v>
      </c>
      <c r="C47" s="2">
        <v>1000</v>
      </c>
      <c r="D47" s="2">
        <f>المخزون!E46</f>
        <v>0</v>
      </c>
      <c r="E47" s="2">
        <f t="shared" si="0"/>
        <v>1000</v>
      </c>
      <c r="F47">
        <f>المخزون!K46</f>
        <v>0</v>
      </c>
      <c r="G47" s="4">
        <v>0.85</v>
      </c>
      <c r="H47" s="2">
        <f t="shared" si="1"/>
        <v>0</v>
      </c>
      <c r="I47" s="2">
        <v>700</v>
      </c>
      <c r="J47">
        <f t="shared" si="2"/>
        <v>700</v>
      </c>
      <c r="K47" s="3">
        <f t="shared" si="3"/>
        <v>1700</v>
      </c>
    </row>
    <row r="48" spans="1:11" x14ac:dyDescent="0.25">
      <c r="A48">
        <f>المخزون!A47</f>
        <v>0</v>
      </c>
      <c r="B48">
        <f>المخزون!F47</f>
        <v>0</v>
      </c>
      <c r="C48" s="2">
        <v>1000</v>
      </c>
      <c r="D48" s="2">
        <f>المخزون!E47</f>
        <v>0</v>
      </c>
      <c r="E48" s="2">
        <f t="shared" si="0"/>
        <v>1000</v>
      </c>
      <c r="F48">
        <f>المخزون!K47</f>
        <v>0</v>
      </c>
      <c r="G48" s="4">
        <v>0.85</v>
      </c>
      <c r="H48" s="2">
        <f t="shared" si="1"/>
        <v>0</v>
      </c>
      <c r="I48" s="2">
        <v>700</v>
      </c>
      <c r="J48">
        <f t="shared" si="2"/>
        <v>700</v>
      </c>
      <c r="K48" s="3">
        <f t="shared" si="3"/>
        <v>1700</v>
      </c>
    </row>
    <row r="49" spans="1:11" x14ac:dyDescent="0.25">
      <c r="A49">
        <f>المخزون!A48</f>
        <v>0</v>
      </c>
      <c r="B49">
        <f>المخزون!F48</f>
        <v>0</v>
      </c>
      <c r="C49" s="2">
        <v>1000</v>
      </c>
      <c r="D49" s="2">
        <f>المخزون!E48</f>
        <v>0</v>
      </c>
      <c r="E49" s="2">
        <f t="shared" si="0"/>
        <v>1000</v>
      </c>
      <c r="F49">
        <f>المخزون!K48</f>
        <v>0</v>
      </c>
      <c r="G49" s="4">
        <v>0.85</v>
      </c>
      <c r="H49" s="2">
        <f t="shared" si="1"/>
        <v>0</v>
      </c>
      <c r="I49" s="2">
        <v>700</v>
      </c>
      <c r="J49">
        <f t="shared" si="2"/>
        <v>700</v>
      </c>
      <c r="K49" s="3">
        <f t="shared" si="3"/>
        <v>1700</v>
      </c>
    </row>
    <row r="50" spans="1:11" x14ac:dyDescent="0.25">
      <c r="A50">
        <f>المخزون!A49</f>
        <v>0</v>
      </c>
      <c r="B50">
        <f>المخزون!F49</f>
        <v>0</v>
      </c>
      <c r="C50" s="2">
        <v>1000</v>
      </c>
      <c r="D50" s="2">
        <f>المخزون!E49</f>
        <v>0</v>
      </c>
      <c r="E50" s="2">
        <f t="shared" si="0"/>
        <v>1000</v>
      </c>
      <c r="F50">
        <f>المخزون!K49</f>
        <v>0</v>
      </c>
      <c r="G50" s="4">
        <v>0.85</v>
      </c>
      <c r="H50" s="2">
        <f t="shared" si="1"/>
        <v>0</v>
      </c>
      <c r="I50" s="2">
        <v>700</v>
      </c>
      <c r="J50">
        <f t="shared" si="2"/>
        <v>700</v>
      </c>
      <c r="K50" s="3">
        <f t="shared" si="3"/>
        <v>1700</v>
      </c>
    </row>
    <row r="51" spans="1:11" x14ac:dyDescent="0.25">
      <c r="A51">
        <f>المخزون!A50</f>
        <v>0</v>
      </c>
      <c r="B51">
        <f>المخزون!F50</f>
        <v>0</v>
      </c>
      <c r="C51" s="2">
        <v>1000</v>
      </c>
      <c r="D51" s="2">
        <f>المخزون!E50</f>
        <v>0</v>
      </c>
      <c r="E51" s="2">
        <f t="shared" si="0"/>
        <v>1000</v>
      </c>
      <c r="F51">
        <f>المخزون!K50</f>
        <v>0</v>
      </c>
      <c r="G51" s="4">
        <v>0.85</v>
      </c>
      <c r="H51" s="2">
        <f t="shared" si="1"/>
        <v>0</v>
      </c>
      <c r="I51" s="2">
        <v>700</v>
      </c>
      <c r="J51">
        <f t="shared" si="2"/>
        <v>700</v>
      </c>
      <c r="K51" s="3">
        <f t="shared" si="3"/>
        <v>1700</v>
      </c>
    </row>
    <row r="52" spans="1:11" x14ac:dyDescent="0.25">
      <c r="A52">
        <f>المخزون!A51</f>
        <v>0</v>
      </c>
      <c r="B52">
        <f>المخزون!F51</f>
        <v>0</v>
      </c>
      <c r="C52" s="2">
        <v>1000</v>
      </c>
      <c r="D52" s="2">
        <f>المخزون!E51</f>
        <v>0</v>
      </c>
      <c r="E52" s="2">
        <f t="shared" si="0"/>
        <v>1000</v>
      </c>
      <c r="F52">
        <f>المخزون!K51</f>
        <v>0</v>
      </c>
      <c r="G52" s="4">
        <v>0.85</v>
      </c>
      <c r="H52" s="2">
        <f t="shared" si="1"/>
        <v>0</v>
      </c>
      <c r="I52" s="2">
        <v>700</v>
      </c>
      <c r="J52">
        <f t="shared" si="2"/>
        <v>700</v>
      </c>
      <c r="K52" s="3">
        <f t="shared" si="3"/>
        <v>1700</v>
      </c>
    </row>
    <row r="53" spans="1:11" x14ac:dyDescent="0.25">
      <c r="A53">
        <f>المخزون!A52</f>
        <v>0</v>
      </c>
      <c r="B53">
        <f>المخزون!F52</f>
        <v>0</v>
      </c>
      <c r="C53" s="2">
        <v>1000</v>
      </c>
      <c r="D53" s="2">
        <f>المخزون!E52</f>
        <v>0</v>
      </c>
      <c r="E53" s="2">
        <f t="shared" si="0"/>
        <v>1000</v>
      </c>
      <c r="F53">
        <f>المخزون!K52</f>
        <v>0</v>
      </c>
      <c r="G53" s="4">
        <v>0.85</v>
      </c>
      <c r="H53" s="2">
        <f t="shared" si="1"/>
        <v>0</v>
      </c>
      <c r="I53" s="2">
        <v>700</v>
      </c>
      <c r="J53">
        <f t="shared" si="2"/>
        <v>700</v>
      </c>
      <c r="K53" s="3">
        <f t="shared" si="3"/>
        <v>1700</v>
      </c>
    </row>
    <row r="54" spans="1:11" x14ac:dyDescent="0.25">
      <c r="A54">
        <f>المخزون!A53</f>
        <v>0</v>
      </c>
      <c r="B54">
        <f>المخزون!F53</f>
        <v>0</v>
      </c>
      <c r="C54" s="2">
        <v>1000</v>
      </c>
      <c r="D54" s="2">
        <f>المخزون!E53</f>
        <v>0</v>
      </c>
      <c r="E54" s="2">
        <f t="shared" si="0"/>
        <v>1000</v>
      </c>
      <c r="F54">
        <f>المخزون!K53</f>
        <v>0</v>
      </c>
      <c r="G54" s="4">
        <v>0.85</v>
      </c>
      <c r="H54" s="2">
        <f t="shared" si="1"/>
        <v>0</v>
      </c>
      <c r="I54" s="2">
        <v>700</v>
      </c>
      <c r="J54">
        <f t="shared" si="2"/>
        <v>700</v>
      </c>
      <c r="K54" s="3">
        <f t="shared" si="3"/>
        <v>1700</v>
      </c>
    </row>
    <row r="55" spans="1:11" x14ac:dyDescent="0.25">
      <c r="A55">
        <f>المخزون!A54</f>
        <v>0</v>
      </c>
      <c r="B55">
        <f>المخزون!F54</f>
        <v>0</v>
      </c>
      <c r="C55" s="2">
        <v>1000</v>
      </c>
      <c r="D55" s="2">
        <f>المخزون!E54</f>
        <v>0</v>
      </c>
      <c r="E55" s="2">
        <f t="shared" si="0"/>
        <v>1000</v>
      </c>
      <c r="F55">
        <f>المخزون!K54</f>
        <v>0</v>
      </c>
      <c r="G55" s="4">
        <v>0.85</v>
      </c>
      <c r="H55" s="2">
        <f t="shared" si="1"/>
        <v>0</v>
      </c>
      <c r="I55" s="2">
        <v>700</v>
      </c>
      <c r="J55">
        <f t="shared" si="2"/>
        <v>700</v>
      </c>
      <c r="K55" s="3">
        <f t="shared" si="3"/>
        <v>1700</v>
      </c>
    </row>
    <row r="56" spans="1:11" x14ac:dyDescent="0.25">
      <c r="A56">
        <f>المخزون!A55</f>
        <v>0</v>
      </c>
      <c r="B56">
        <f>المخزون!F48</f>
        <v>0</v>
      </c>
      <c r="C56" s="2">
        <v>1000</v>
      </c>
      <c r="D56" s="2">
        <f>المخزون!E48</f>
        <v>0</v>
      </c>
      <c r="E56" s="2">
        <f t="shared" ref="E56:E63" si="4">C56+D56</f>
        <v>1000</v>
      </c>
      <c r="F56">
        <f>المخزون!K48</f>
        <v>0</v>
      </c>
      <c r="G56" s="4">
        <v>0.85</v>
      </c>
      <c r="H56" s="2">
        <f t="shared" si="1"/>
        <v>0</v>
      </c>
      <c r="I56" s="2">
        <v>700</v>
      </c>
      <c r="J56">
        <f t="shared" si="2"/>
        <v>700</v>
      </c>
      <c r="K56" s="3">
        <f t="shared" ref="K56:K59" si="5">(E56+I56)-H56</f>
        <v>1700</v>
      </c>
    </row>
    <row r="57" spans="1:11" x14ac:dyDescent="0.25">
      <c r="A57">
        <f>المخزون!A56</f>
        <v>0</v>
      </c>
      <c r="B57">
        <f>المخزون!F49</f>
        <v>0</v>
      </c>
      <c r="C57" s="2">
        <v>1000</v>
      </c>
      <c r="D57" s="2">
        <f>المخزون!E49</f>
        <v>0</v>
      </c>
      <c r="E57" s="2">
        <f t="shared" si="4"/>
        <v>1000</v>
      </c>
      <c r="F57">
        <f>المخزون!K49</f>
        <v>0</v>
      </c>
      <c r="G57" s="4">
        <v>0.85</v>
      </c>
      <c r="H57" s="2">
        <f t="shared" si="1"/>
        <v>0</v>
      </c>
      <c r="I57" s="2">
        <v>700</v>
      </c>
      <c r="J57">
        <f t="shared" si="2"/>
        <v>700</v>
      </c>
      <c r="K57" s="3">
        <f t="shared" si="5"/>
        <v>1700</v>
      </c>
    </row>
    <row r="58" spans="1:11" x14ac:dyDescent="0.25">
      <c r="A58">
        <f>المخزون!A50</f>
        <v>0</v>
      </c>
      <c r="B58">
        <f>المخزون!F50</f>
        <v>0</v>
      </c>
      <c r="C58" s="2">
        <v>1000</v>
      </c>
      <c r="D58" s="2">
        <f>المخزون!E39</f>
        <v>0</v>
      </c>
      <c r="E58" s="2">
        <f t="shared" si="4"/>
        <v>1000</v>
      </c>
      <c r="F58">
        <f>المخزون!K50</f>
        <v>0</v>
      </c>
      <c r="G58" s="4">
        <v>0.85</v>
      </c>
      <c r="H58" s="2">
        <f t="shared" ref="H58:H61" si="6">F58*G58</f>
        <v>0</v>
      </c>
      <c r="I58" s="2">
        <v>700</v>
      </c>
      <c r="J58">
        <f t="shared" ref="J58:J59" si="7">H58+I58</f>
        <v>700</v>
      </c>
      <c r="K58" s="3">
        <f t="shared" si="5"/>
        <v>1700</v>
      </c>
    </row>
    <row r="59" spans="1:11" x14ac:dyDescent="0.25">
      <c r="A59">
        <f>المخزون!A51</f>
        <v>0</v>
      </c>
      <c r="B59">
        <f>المخزون!F51</f>
        <v>0</v>
      </c>
      <c r="C59" s="2">
        <v>1000</v>
      </c>
      <c r="D59" s="2">
        <f>المخزون!E40</f>
        <v>0</v>
      </c>
      <c r="E59" s="2">
        <f t="shared" si="4"/>
        <v>1000</v>
      </c>
      <c r="F59">
        <f>المخزون!K51</f>
        <v>0</v>
      </c>
      <c r="G59" s="4">
        <v>0.85</v>
      </c>
      <c r="H59" s="2">
        <f t="shared" si="6"/>
        <v>0</v>
      </c>
      <c r="I59" s="2">
        <v>700</v>
      </c>
      <c r="J59">
        <f t="shared" si="7"/>
        <v>700</v>
      </c>
      <c r="K59" s="3">
        <f t="shared" si="5"/>
        <v>1700</v>
      </c>
    </row>
    <row r="60" spans="1:11" x14ac:dyDescent="0.25">
      <c r="A60">
        <f>المخزون!A41</f>
        <v>0</v>
      </c>
      <c r="B60">
        <f>المخزون!F41</f>
        <v>0</v>
      </c>
      <c r="C60" s="2">
        <v>1000</v>
      </c>
      <c r="D60" s="2">
        <f>المخزون!E41</f>
        <v>0</v>
      </c>
      <c r="E60" s="2">
        <f t="shared" si="4"/>
        <v>1000</v>
      </c>
      <c r="F60">
        <f>المخزون!K52</f>
        <v>0</v>
      </c>
      <c r="G60" s="4">
        <v>0.85</v>
      </c>
      <c r="H60" s="2">
        <f t="shared" si="6"/>
        <v>0</v>
      </c>
      <c r="I60" s="2">
        <v>700</v>
      </c>
      <c r="J60">
        <f t="shared" ref="J60:J63" si="8">H60+I60</f>
        <v>700</v>
      </c>
      <c r="K60" s="3">
        <f t="shared" ref="K60:K61" si="9">(E60+I60)-H60</f>
        <v>1700</v>
      </c>
    </row>
    <row r="61" spans="1:11" x14ac:dyDescent="0.25">
      <c r="A61">
        <f>المخزون!A42</f>
        <v>0</v>
      </c>
      <c r="B61">
        <f>المخزون!F42</f>
        <v>0</v>
      </c>
      <c r="C61" s="2">
        <v>1000</v>
      </c>
      <c r="D61" s="2">
        <f>المخزون!E42</f>
        <v>0</v>
      </c>
      <c r="E61" s="2">
        <f t="shared" si="4"/>
        <v>1000</v>
      </c>
      <c r="F61">
        <f>المخزون!K53</f>
        <v>0</v>
      </c>
      <c r="G61" s="4">
        <v>0.85</v>
      </c>
      <c r="H61" s="2">
        <f t="shared" si="6"/>
        <v>0</v>
      </c>
      <c r="I61" s="2">
        <v>700</v>
      </c>
      <c r="J61">
        <f t="shared" si="8"/>
        <v>700</v>
      </c>
      <c r="K61" s="3">
        <f t="shared" si="9"/>
        <v>1700</v>
      </c>
    </row>
    <row r="62" spans="1:11" x14ac:dyDescent="0.25">
      <c r="A62">
        <f>المخزون!A43</f>
        <v>0</v>
      </c>
      <c r="B62">
        <f>المخزون!F43</f>
        <v>0</v>
      </c>
      <c r="C62" s="2">
        <v>1000</v>
      </c>
      <c r="D62" s="2">
        <f>المخزون!E43</f>
        <v>0</v>
      </c>
      <c r="E62" s="2">
        <f t="shared" si="4"/>
        <v>1000</v>
      </c>
      <c r="F62">
        <f>المخزون!K54</f>
        <v>0</v>
      </c>
      <c r="G62" s="4">
        <v>0.85</v>
      </c>
      <c r="H62" s="2">
        <f t="shared" ref="H62:H63" si="10">F62*G62</f>
        <v>0</v>
      </c>
      <c r="I62" s="2">
        <v>700</v>
      </c>
      <c r="J62">
        <f t="shared" si="8"/>
        <v>700</v>
      </c>
      <c r="K62" s="3">
        <f t="shared" ref="K62:K63" si="11">(E62+I62)-H62</f>
        <v>1700</v>
      </c>
    </row>
    <row r="63" spans="1:11" x14ac:dyDescent="0.25">
      <c r="A63">
        <f>المخزون!A44</f>
        <v>0</v>
      </c>
      <c r="B63">
        <f>المخزون!F44</f>
        <v>0</v>
      </c>
      <c r="C63" s="2">
        <v>1000</v>
      </c>
      <c r="D63" s="2">
        <f>المخزون!E44</f>
        <v>0</v>
      </c>
      <c r="E63" s="2">
        <f t="shared" si="4"/>
        <v>1000</v>
      </c>
      <c r="F63">
        <f>المخزون!K55</f>
        <v>0</v>
      </c>
      <c r="G63" s="4">
        <v>0.85</v>
      </c>
      <c r="H63" s="2">
        <f t="shared" si="10"/>
        <v>0</v>
      </c>
      <c r="I63" s="2">
        <v>700</v>
      </c>
      <c r="J63">
        <f t="shared" si="8"/>
        <v>700</v>
      </c>
      <c r="K63" s="3">
        <f t="shared" si="11"/>
        <v>1700</v>
      </c>
    </row>
  </sheetData>
  <mergeCells count="21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10:Q10"/>
    <mergeCell ref="L7:Q7"/>
    <mergeCell ref="L1:Q1"/>
    <mergeCell ref="L2:Q3"/>
    <mergeCell ref="L4:Q4"/>
    <mergeCell ref="L5:Q5"/>
    <mergeCell ref="L6:Q6"/>
    <mergeCell ref="L8:Q8"/>
    <mergeCell ref="L9:Q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D127-80A5-4BF7-90E0-E4EB28185406}">
  <sheetPr codeName="Sheet8"/>
  <dimension ref="A1:Q63"/>
  <sheetViews>
    <sheetView topLeftCell="A4" workbookViewId="0">
      <selection activeCell="E18" sqref="E18"/>
    </sheetView>
  </sheetViews>
  <sheetFormatPr defaultRowHeight="15" x14ac:dyDescent="0.25"/>
  <cols>
    <col min="1" max="1" width="21.140625" bestFit="1" customWidth="1"/>
    <col min="2" max="2" width="6.7109375" bestFit="1" customWidth="1"/>
    <col min="3" max="3" width="13.28515625" bestFit="1" customWidth="1"/>
    <col min="4" max="5" width="6" bestFit="1" customWidth="1"/>
    <col min="6" max="6" width="6.5703125" bestFit="1" customWidth="1"/>
    <col min="7" max="7" width="5.5703125" bestFit="1" customWidth="1"/>
    <col min="8" max="8" width="10.42578125" bestFit="1" customWidth="1"/>
    <col min="9" max="9" width="8.140625" bestFit="1" customWidth="1"/>
    <col min="10" max="10" width="6" bestFit="1" customWidth="1"/>
    <col min="11" max="11" width="12.140625" bestFit="1" customWidth="1"/>
    <col min="15" max="15" width="12.85546875" customWidth="1"/>
    <col min="17" max="17" width="12.5703125" customWidth="1"/>
  </cols>
  <sheetData>
    <row r="1" spans="1:17" ht="26.25" x14ac:dyDescent="0.25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3" t="s">
        <v>49</v>
      </c>
      <c r="M1" s="23"/>
      <c r="N1" s="23"/>
      <c r="O1" s="23"/>
      <c r="P1" s="23"/>
      <c r="Q1" s="23"/>
    </row>
    <row r="2" spans="1:17" x14ac:dyDescent="0.25">
      <c r="A2" s="21" t="s">
        <v>5</v>
      </c>
      <c r="B2" s="21" t="s">
        <v>4</v>
      </c>
      <c r="C2" s="26" t="s">
        <v>12</v>
      </c>
      <c r="D2" s="26" t="s">
        <v>10</v>
      </c>
      <c r="E2" s="26" t="s">
        <v>6</v>
      </c>
      <c r="F2" s="26" t="s">
        <v>7</v>
      </c>
      <c r="G2" s="26" t="s">
        <v>13</v>
      </c>
      <c r="H2" s="26" t="s">
        <v>8</v>
      </c>
      <c r="I2" s="26" t="s">
        <v>9</v>
      </c>
      <c r="J2" s="26" t="s">
        <v>11</v>
      </c>
      <c r="K2" s="26" t="s">
        <v>14</v>
      </c>
      <c r="L2" s="21" t="s">
        <v>65</v>
      </c>
      <c r="M2" s="21"/>
      <c r="N2" s="21"/>
      <c r="O2" s="21"/>
      <c r="P2" s="21"/>
      <c r="Q2" s="21"/>
    </row>
    <row r="3" spans="1:17" x14ac:dyDescent="0.25">
      <c r="A3" s="21"/>
      <c r="B3" s="21"/>
      <c r="C3" s="26"/>
      <c r="D3" s="26"/>
      <c r="E3" s="26"/>
      <c r="F3" s="26"/>
      <c r="G3" s="26"/>
      <c r="H3" s="26"/>
      <c r="I3" s="26"/>
      <c r="J3" s="26"/>
      <c r="K3" s="26"/>
      <c r="L3" s="21"/>
      <c r="M3" s="21"/>
      <c r="N3" s="21"/>
      <c r="O3" s="21"/>
      <c r="P3" s="21"/>
      <c r="Q3" s="21"/>
    </row>
    <row r="4" spans="1:17" x14ac:dyDescent="0.25">
      <c r="A4" t="str">
        <f>المخزون!A3</f>
        <v>BYD Dolphyn</v>
      </c>
      <c r="B4">
        <f>المخزون!F3</f>
        <v>2022</v>
      </c>
      <c r="C4" s="2">
        <v>1000</v>
      </c>
      <c r="D4" s="2">
        <f>المخزون!E3</f>
        <v>12800</v>
      </c>
      <c r="E4" s="2">
        <f>C4+D4</f>
        <v>13800</v>
      </c>
      <c r="F4" s="1">
        <v>14000</v>
      </c>
      <c r="G4" s="4">
        <v>0.9</v>
      </c>
      <c r="H4" s="2">
        <f>F4*G4</f>
        <v>12600</v>
      </c>
      <c r="I4" s="2">
        <v>500</v>
      </c>
      <c r="J4">
        <f>H4+I4</f>
        <v>13100</v>
      </c>
      <c r="K4" s="3">
        <f>(E4+I4)-H4</f>
        <v>1700</v>
      </c>
      <c r="L4" s="21" t="s">
        <v>50</v>
      </c>
      <c r="M4" s="21"/>
      <c r="N4" s="21"/>
      <c r="O4" s="21"/>
      <c r="P4" s="21"/>
      <c r="Q4" s="21"/>
    </row>
    <row r="5" spans="1:17" x14ac:dyDescent="0.25">
      <c r="A5" t="str">
        <f>المخزون!A4</f>
        <v>Hyundai Enciano</v>
      </c>
      <c r="B5">
        <f>المخزون!F4</f>
        <v>2019</v>
      </c>
      <c r="C5" s="2">
        <v>1000</v>
      </c>
      <c r="D5" s="2">
        <f>المخزون!E4</f>
        <v>15500</v>
      </c>
      <c r="E5" s="2">
        <f t="shared" ref="E5:E63" si="0">C5+D5</f>
        <v>16500</v>
      </c>
      <c r="F5" s="1">
        <v>13400</v>
      </c>
      <c r="G5" s="4">
        <v>0.9</v>
      </c>
      <c r="H5" s="2">
        <f t="shared" ref="H5:H63" si="1">F5*G5</f>
        <v>12060</v>
      </c>
      <c r="I5" s="2">
        <v>500</v>
      </c>
      <c r="J5">
        <f t="shared" ref="J5:J63" si="2">H5+I5</f>
        <v>12560</v>
      </c>
      <c r="K5" s="3">
        <f t="shared" ref="K5:K63" si="3">(E5+I5)-H5</f>
        <v>4940</v>
      </c>
      <c r="L5" s="21" t="s">
        <v>56</v>
      </c>
      <c r="M5" s="21"/>
      <c r="N5" s="21"/>
      <c r="O5" s="21"/>
      <c r="P5" s="21"/>
      <c r="Q5" s="21"/>
    </row>
    <row r="6" spans="1:17" x14ac:dyDescent="0.25">
      <c r="A6" t="str">
        <f>المخزون!A5</f>
        <v>Neta V</v>
      </c>
      <c r="B6">
        <f>المخزون!F5</f>
        <v>2022</v>
      </c>
      <c r="C6" s="2">
        <v>1000</v>
      </c>
      <c r="D6" s="2">
        <f>المخزون!E5</f>
        <v>9700</v>
      </c>
      <c r="E6" s="2">
        <f t="shared" si="0"/>
        <v>10700</v>
      </c>
      <c r="F6" s="1">
        <v>16500</v>
      </c>
      <c r="G6" s="4">
        <v>0.9</v>
      </c>
      <c r="H6" s="2">
        <f t="shared" si="1"/>
        <v>14850</v>
      </c>
      <c r="I6" s="2">
        <v>500</v>
      </c>
      <c r="J6">
        <f t="shared" si="2"/>
        <v>15350</v>
      </c>
      <c r="K6" s="3">
        <f t="shared" si="3"/>
        <v>-3650</v>
      </c>
      <c r="L6" s="21" t="s">
        <v>57</v>
      </c>
      <c r="M6" s="21"/>
      <c r="N6" s="21"/>
      <c r="O6" s="21"/>
      <c r="P6" s="21"/>
      <c r="Q6" s="21"/>
    </row>
    <row r="7" spans="1:17" x14ac:dyDescent="0.25">
      <c r="A7" t="str">
        <f>المخزون!A6</f>
        <v>Neta V</v>
      </c>
      <c r="B7">
        <f>المخزون!F6</f>
        <v>2021</v>
      </c>
      <c r="C7" s="2">
        <v>1000</v>
      </c>
      <c r="D7" s="2">
        <f>المخزون!E6</f>
        <v>8700</v>
      </c>
      <c r="E7" s="2">
        <f t="shared" si="0"/>
        <v>9700</v>
      </c>
      <c r="F7" s="1">
        <v>11000</v>
      </c>
      <c r="G7" s="4">
        <v>0.9</v>
      </c>
      <c r="H7" s="2">
        <f t="shared" si="1"/>
        <v>9900</v>
      </c>
      <c r="I7" s="2">
        <v>500</v>
      </c>
      <c r="J7">
        <f t="shared" si="2"/>
        <v>10400</v>
      </c>
      <c r="K7" s="3">
        <f t="shared" si="3"/>
        <v>300</v>
      </c>
      <c r="L7" s="21" t="s">
        <v>66</v>
      </c>
      <c r="M7" s="21"/>
      <c r="N7" s="21"/>
      <c r="O7" s="21"/>
      <c r="P7" s="21"/>
      <c r="Q7" s="21"/>
    </row>
    <row r="8" spans="1:17" x14ac:dyDescent="0.25">
      <c r="A8" t="str">
        <f>المخزون!A7</f>
        <v>Neta U / FULL</v>
      </c>
      <c r="B8">
        <f>المخزون!F7</f>
        <v>2022</v>
      </c>
      <c r="C8" s="2">
        <v>1000</v>
      </c>
      <c r="D8" s="2">
        <f>المخزون!E7</f>
        <v>15000</v>
      </c>
      <c r="E8" s="2">
        <f t="shared" si="0"/>
        <v>16000</v>
      </c>
      <c r="F8" s="1">
        <v>10900</v>
      </c>
      <c r="G8" s="4">
        <v>0.9</v>
      </c>
      <c r="H8" s="2">
        <f t="shared" si="1"/>
        <v>9810</v>
      </c>
      <c r="I8" s="2">
        <v>500</v>
      </c>
      <c r="J8">
        <f t="shared" si="2"/>
        <v>10310</v>
      </c>
      <c r="K8" s="3">
        <f t="shared" si="3"/>
        <v>6690</v>
      </c>
    </row>
    <row r="9" spans="1:17" x14ac:dyDescent="0.25">
      <c r="A9" t="str">
        <f>المخزون!A8</f>
        <v>Neta Aya</v>
      </c>
      <c r="B9">
        <f>المخزون!F8</f>
        <v>2023</v>
      </c>
      <c r="C9" s="2">
        <v>1000</v>
      </c>
      <c r="D9" s="2">
        <f>المخزون!E8</f>
        <v>10100</v>
      </c>
      <c r="E9" s="2">
        <f t="shared" si="0"/>
        <v>11100</v>
      </c>
      <c r="F9" s="1">
        <v>10400</v>
      </c>
      <c r="G9" s="4">
        <v>0.9</v>
      </c>
      <c r="H9" s="2">
        <f t="shared" si="1"/>
        <v>9360</v>
      </c>
      <c r="I9" s="2">
        <v>500</v>
      </c>
      <c r="J9">
        <f t="shared" si="2"/>
        <v>9860</v>
      </c>
      <c r="K9" s="3">
        <f t="shared" si="3"/>
        <v>2240</v>
      </c>
    </row>
    <row r="10" spans="1:17" x14ac:dyDescent="0.25">
      <c r="A10" t="str">
        <f>المخزون!A9</f>
        <v>Neta X</v>
      </c>
      <c r="B10">
        <f>المخزون!F9</f>
        <v>2023</v>
      </c>
      <c r="C10" s="2">
        <v>1000</v>
      </c>
      <c r="D10" s="2">
        <f>المخزون!E9</f>
        <v>15500</v>
      </c>
      <c r="E10" s="2">
        <f t="shared" si="0"/>
        <v>16500</v>
      </c>
      <c r="F10" s="1">
        <v>15500</v>
      </c>
      <c r="G10" s="4">
        <v>0.9</v>
      </c>
      <c r="H10" s="2">
        <f t="shared" si="1"/>
        <v>13950</v>
      </c>
      <c r="I10" s="2">
        <v>500</v>
      </c>
      <c r="J10">
        <f t="shared" si="2"/>
        <v>14450</v>
      </c>
      <c r="K10" s="3">
        <f t="shared" si="3"/>
        <v>3050</v>
      </c>
      <c r="L10" s="22" t="s">
        <v>64</v>
      </c>
      <c r="M10" s="22"/>
      <c r="N10" s="22"/>
      <c r="O10" s="22"/>
      <c r="P10" s="22"/>
      <c r="Q10" s="22"/>
    </row>
    <row r="11" spans="1:17" x14ac:dyDescent="0.25">
      <c r="A11" t="str">
        <f>المخزون!A10</f>
        <v>BYD Yuan Plus</v>
      </c>
      <c r="B11">
        <f>المخزون!F10</f>
        <v>2023</v>
      </c>
      <c r="C11" s="2">
        <v>1000</v>
      </c>
      <c r="D11" s="2">
        <f>المخزون!E10</f>
        <v>17800</v>
      </c>
      <c r="E11" s="2">
        <f t="shared" si="0"/>
        <v>18800</v>
      </c>
      <c r="F11" s="1">
        <v>12000</v>
      </c>
      <c r="G11" s="4">
        <v>0.9</v>
      </c>
      <c r="H11" s="2">
        <f t="shared" si="1"/>
        <v>10800</v>
      </c>
      <c r="I11" s="2">
        <v>500</v>
      </c>
      <c r="J11">
        <f t="shared" si="2"/>
        <v>11300</v>
      </c>
      <c r="K11" s="3">
        <f t="shared" si="3"/>
        <v>8500</v>
      </c>
    </row>
    <row r="12" spans="1:17" x14ac:dyDescent="0.25">
      <c r="A12" t="str">
        <f>المخزون!A11</f>
        <v>Nammi Box Dong Feng</v>
      </c>
      <c r="B12">
        <f>المخزون!F11</f>
        <v>2023</v>
      </c>
      <c r="C12" s="2">
        <v>1000</v>
      </c>
      <c r="D12" s="2">
        <f>المخزون!E11</f>
        <v>12000</v>
      </c>
      <c r="E12" s="2">
        <f t="shared" si="0"/>
        <v>13000</v>
      </c>
      <c r="F12" s="1">
        <v>16000</v>
      </c>
      <c r="G12" s="4">
        <v>0.9</v>
      </c>
      <c r="H12" s="2">
        <f t="shared" si="1"/>
        <v>14400</v>
      </c>
      <c r="I12" s="2">
        <v>500</v>
      </c>
      <c r="J12">
        <f t="shared" si="2"/>
        <v>14900</v>
      </c>
      <c r="K12" s="3">
        <f t="shared" si="3"/>
        <v>-900</v>
      </c>
    </row>
    <row r="13" spans="1:17" x14ac:dyDescent="0.25">
      <c r="A13" t="str">
        <f>المخزون!A12</f>
        <v>E Golf</v>
      </c>
      <c r="B13">
        <f>المخزون!F12</f>
        <v>2021</v>
      </c>
      <c r="C13" s="2">
        <v>1000</v>
      </c>
      <c r="D13" s="2">
        <f>المخزون!E12</f>
        <v>12300</v>
      </c>
      <c r="E13" s="2">
        <f t="shared" si="0"/>
        <v>13300</v>
      </c>
      <c r="F13" s="1">
        <v>18500</v>
      </c>
      <c r="G13" s="4">
        <v>0.9</v>
      </c>
      <c r="H13" s="2">
        <f t="shared" si="1"/>
        <v>16650</v>
      </c>
      <c r="I13" s="2">
        <v>500</v>
      </c>
      <c r="J13">
        <f t="shared" si="2"/>
        <v>17150</v>
      </c>
      <c r="K13" s="3">
        <f t="shared" si="3"/>
        <v>-2850</v>
      </c>
      <c r="M13" s="5"/>
    </row>
    <row r="14" spans="1:17" x14ac:dyDescent="0.25">
      <c r="A14" t="str">
        <f>المخزون!A13</f>
        <v>LaVida</v>
      </c>
      <c r="B14">
        <f>المخزون!F13</f>
        <v>2019</v>
      </c>
      <c r="C14" s="2">
        <v>1000</v>
      </c>
      <c r="D14" s="2">
        <f>المخزون!E13</f>
        <v>10700</v>
      </c>
      <c r="E14" s="2">
        <f t="shared" si="0"/>
        <v>11700</v>
      </c>
      <c r="F14" s="1">
        <v>16000</v>
      </c>
      <c r="G14" s="4">
        <v>0.9</v>
      </c>
      <c r="H14" s="2">
        <f t="shared" si="1"/>
        <v>14400</v>
      </c>
      <c r="I14" s="2">
        <v>500</v>
      </c>
      <c r="J14">
        <f t="shared" si="2"/>
        <v>14900</v>
      </c>
      <c r="K14" s="3">
        <f t="shared" si="3"/>
        <v>-2200</v>
      </c>
    </row>
    <row r="15" spans="1:17" x14ac:dyDescent="0.25">
      <c r="A15" t="str">
        <f>المخزون!A14</f>
        <v>LaVida</v>
      </c>
      <c r="B15">
        <f>المخزون!F14</f>
        <v>2021</v>
      </c>
      <c r="C15" s="2">
        <v>1000</v>
      </c>
      <c r="D15" s="2">
        <f>المخزون!E14</f>
        <v>11500</v>
      </c>
      <c r="E15" s="2">
        <f t="shared" si="0"/>
        <v>12500</v>
      </c>
      <c r="F15" s="1">
        <v>13000</v>
      </c>
      <c r="G15" s="4">
        <v>0.9</v>
      </c>
      <c r="H15" s="2">
        <f t="shared" si="1"/>
        <v>11700</v>
      </c>
      <c r="I15" s="2">
        <v>500</v>
      </c>
      <c r="J15">
        <f t="shared" si="2"/>
        <v>12200</v>
      </c>
      <c r="K15" s="3">
        <f t="shared" si="3"/>
        <v>1300</v>
      </c>
    </row>
    <row r="16" spans="1:17" x14ac:dyDescent="0.25">
      <c r="A16" t="str">
        <f>المخزون!A15</f>
        <v>Nano</v>
      </c>
      <c r="B16">
        <f>المخزون!F15</f>
        <v>2022</v>
      </c>
      <c r="C16" s="2">
        <v>1000</v>
      </c>
      <c r="D16" s="2">
        <f>المخزون!E15</f>
        <v>8250</v>
      </c>
      <c r="E16" s="2">
        <f t="shared" si="0"/>
        <v>9250</v>
      </c>
      <c r="F16" s="1">
        <v>13000</v>
      </c>
      <c r="G16" s="4">
        <v>0.9</v>
      </c>
      <c r="H16" s="2">
        <f t="shared" si="1"/>
        <v>11700</v>
      </c>
      <c r="I16" s="2">
        <v>500</v>
      </c>
      <c r="J16">
        <f t="shared" si="2"/>
        <v>12200</v>
      </c>
      <c r="K16" s="3">
        <f t="shared" si="3"/>
        <v>-1950</v>
      </c>
    </row>
    <row r="17" spans="1:11" x14ac:dyDescent="0.25">
      <c r="A17" t="str">
        <f>المخزون!A16</f>
        <v>Honda NS1</v>
      </c>
      <c r="B17">
        <f>المخزون!F16</f>
        <v>2023</v>
      </c>
      <c r="C17" s="2">
        <v>1000</v>
      </c>
      <c r="D17" s="2">
        <f>المخزون!E16</f>
        <v>16700</v>
      </c>
      <c r="E17" s="2">
        <f t="shared" si="0"/>
        <v>17700</v>
      </c>
      <c r="F17" s="1">
        <v>12000</v>
      </c>
      <c r="G17" s="4">
        <v>0.9</v>
      </c>
      <c r="H17" s="2">
        <f t="shared" si="1"/>
        <v>10800</v>
      </c>
      <c r="I17" s="2">
        <v>500</v>
      </c>
      <c r="J17">
        <f t="shared" si="2"/>
        <v>11300</v>
      </c>
      <c r="K17" s="3">
        <f t="shared" si="3"/>
        <v>7400</v>
      </c>
    </row>
    <row r="18" spans="1:11" x14ac:dyDescent="0.25">
      <c r="A18" t="str">
        <f>المخزون!A17</f>
        <v>BYD seagall</v>
      </c>
      <c r="B18">
        <f>المخزون!F17</f>
        <v>2024</v>
      </c>
      <c r="C18" s="2">
        <v>1000</v>
      </c>
      <c r="D18" s="2">
        <f>المخزون!E17</f>
        <v>13250</v>
      </c>
      <c r="E18" s="2">
        <f t="shared" si="0"/>
        <v>14250</v>
      </c>
      <c r="F18" s="1">
        <v>13000</v>
      </c>
      <c r="G18" s="4">
        <v>0.9</v>
      </c>
      <c r="H18" s="2">
        <f t="shared" si="1"/>
        <v>11700</v>
      </c>
      <c r="I18" s="2">
        <v>500</v>
      </c>
      <c r="J18">
        <f t="shared" si="2"/>
        <v>12200</v>
      </c>
      <c r="K18" s="3">
        <f t="shared" si="3"/>
        <v>3050</v>
      </c>
    </row>
    <row r="19" spans="1:11" x14ac:dyDescent="0.25">
      <c r="A19" t="str">
        <f>المخزون!A18</f>
        <v>toyota BZ3</v>
      </c>
      <c r="B19">
        <f>المخزون!F18</f>
        <v>2023</v>
      </c>
      <c r="C19" s="2">
        <v>1000</v>
      </c>
      <c r="D19" s="2">
        <f>المخزون!E18</f>
        <v>18000</v>
      </c>
      <c r="E19" s="2">
        <f t="shared" si="0"/>
        <v>19000</v>
      </c>
      <c r="F19" s="1">
        <v>9500</v>
      </c>
      <c r="G19" s="4">
        <v>0.9</v>
      </c>
      <c r="H19" s="2">
        <f t="shared" si="1"/>
        <v>8550</v>
      </c>
      <c r="I19" s="2">
        <v>500</v>
      </c>
      <c r="J19">
        <f t="shared" si="2"/>
        <v>9050</v>
      </c>
      <c r="K19" s="3">
        <f t="shared" si="3"/>
        <v>10950</v>
      </c>
    </row>
    <row r="20" spans="1:11" x14ac:dyDescent="0.25">
      <c r="A20" t="str">
        <f>المخزون!A19</f>
        <v>KIA EV5</v>
      </c>
      <c r="B20">
        <f>المخزون!F19</f>
        <v>2023</v>
      </c>
      <c r="C20" s="2">
        <v>1000</v>
      </c>
      <c r="D20" s="2">
        <f>المخزون!E19</f>
        <v>22000</v>
      </c>
      <c r="E20" s="2">
        <f t="shared" si="0"/>
        <v>23000</v>
      </c>
      <c r="F20" s="1">
        <v>18000</v>
      </c>
      <c r="G20" s="4">
        <v>0.9</v>
      </c>
      <c r="H20" s="2">
        <f t="shared" si="1"/>
        <v>16200</v>
      </c>
      <c r="I20" s="2">
        <v>500</v>
      </c>
      <c r="J20">
        <f t="shared" si="2"/>
        <v>16700</v>
      </c>
      <c r="K20" s="3">
        <f t="shared" si="3"/>
        <v>7300</v>
      </c>
    </row>
    <row r="21" spans="1:11" x14ac:dyDescent="0.25">
      <c r="A21" t="str">
        <f>المخزون!A20</f>
        <v>QUIN BYD EV</v>
      </c>
      <c r="B21">
        <f>المخزون!F20</f>
        <v>2023</v>
      </c>
      <c r="C21" s="2">
        <v>1000</v>
      </c>
      <c r="D21" s="2">
        <f>المخزون!E20</f>
        <v>13000</v>
      </c>
      <c r="E21" s="2">
        <f t="shared" si="0"/>
        <v>14000</v>
      </c>
      <c r="F21" s="1">
        <v>17000</v>
      </c>
      <c r="G21" s="4">
        <v>0.9</v>
      </c>
      <c r="H21" s="2">
        <f t="shared" si="1"/>
        <v>15300</v>
      </c>
      <c r="I21" s="2">
        <v>500</v>
      </c>
      <c r="J21">
        <f t="shared" si="2"/>
        <v>15800</v>
      </c>
      <c r="K21" s="3">
        <f t="shared" si="3"/>
        <v>-800</v>
      </c>
    </row>
    <row r="22" spans="1:11" x14ac:dyDescent="0.25">
      <c r="A22" t="str">
        <f>المخزون!A21</f>
        <v>BYD E2 20 305</v>
      </c>
      <c r="B22">
        <f>المخزون!F21</f>
        <v>2020</v>
      </c>
      <c r="C22" s="2">
        <v>1000</v>
      </c>
      <c r="D22" s="2">
        <f>المخزون!E21</f>
        <v>11300</v>
      </c>
      <c r="E22" s="2">
        <f t="shared" si="0"/>
        <v>12300</v>
      </c>
      <c r="F22" s="1">
        <v>14700</v>
      </c>
      <c r="G22" s="4">
        <v>0.9</v>
      </c>
      <c r="H22" s="2">
        <f t="shared" si="1"/>
        <v>13230</v>
      </c>
      <c r="I22" s="2">
        <v>500</v>
      </c>
      <c r="J22">
        <f t="shared" si="2"/>
        <v>13730</v>
      </c>
      <c r="K22" s="3">
        <f t="shared" si="3"/>
        <v>-430</v>
      </c>
    </row>
    <row r="23" spans="1:11" x14ac:dyDescent="0.25">
      <c r="A23" t="str">
        <f>المخزون!A22</f>
        <v xml:space="preserve">BYD QIN + EV </v>
      </c>
      <c r="B23">
        <f>المخزون!F22</f>
        <v>2020</v>
      </c>
      <c r="C23" s="2">
        <v>1000</v>
      </c>
      <c r="D23" s="2">
        <f>المخزون!E22</f>
        <v>10350</v>
      </c>
      <c r="E23" s="2">
        <f t="shared" si="0"/>
        <v>11350</v>
      </c>
      <c r="F23" s="1" t="s">
        <v>43</v>
      </c>
      <c r="G23" s="4">
        <v>0.9</v>
      </c>
      <c r="H23" s="2" t="e">
        <f t="shared" si="1"/>
        <v>#VALUE!</v>
      </c>
      <c r="I23" s="2">
        <v>500</v>
      </c>
      <c r="J23" t="e">
        <f t="shared" si="2"/>
        <v>#VALUE!</v>
      </c>
      <c r="K23" s="3" t="e">
        <f t="shared" si="3"/>
        <v>#VALUE!</v>
      </c>
    </row>
    <row r="24" spans="1:11" x14ac:dyDescent="0.25">
      <c r="A24" t="str">
        <f>المخزون!A23</f>
        <v>HONGQUI EMQ5</v>
      </c>
      <c r="B24">
        <f>المخزون!F23</f>
        <v>2022</v>
      </c>
      <c r="C24" s="2">
        <v>1000</v>
      </c>
      <c r="D24" s="2">
        <f>المخزون!E23</f>
        <v>14250</v>
      </c>
      <c r="E24" s="2">
        <f t="shared" si="0"/>
        <v>15250</v>
      </c>
      <c r="F24" s="1">
        <v>19800</v>
      </c>
      <c r="G24" s="4">
        <v>0.9</v>
      </c>
      <c r="H24" s="2">
        <f t="shared" si="1"/>
        <v>17820</v>
      </c>
      <c r="I24" s="2">
        <v>500</v>
      </c>
      <c r="J24">
        <f t="shared" si="2"/>
        <v>18320</v>
      </c>
      <c r="K24" s="3">
        <f t="shared" si="3"/>
        <v>-2070</v>
      </c>
    </row>
    <row r="25" spans="1:11" x14ac:dyDescent="0.25">
      <c r="A25" t="str">
        <f>المخزون!A24</f>
        <v>LEAP T03</v>
      </c>
      <c r="B25">
        <f>المخزون!F24</f>
        <v>2024</v>
      </c>
      <c r="C25" s="2">
        <v>1000</v>
      </c>
      <c r="D25" s="2">
        <f>المخزون!E24</f>
        <v>9500</v>
      </c>
      <c r="E25" s="2">
        <f t="shared" si="0"/>
        <v>10500</v>
      </c>
      <c r="F25" s="1"/>
      <c r="G25" s="4">
        <v>0.9</v>
      </c>
      <c r="H25" s="2">
        <f t="shared" si="1"/>
        <v>0</v>
      </c>
      <c r="I25" s="2">
        <v>500</v>
      </c>
      <c r="J25">
        <f t="shared" si="2"/>
        <v>500</v>
      </c>
      <c r="K25" s="3">
        <f t="shared" si="3"/>
        <v>11000</v>
      </c>
    </row>
    <row r="26" spans="1:11" x14ac:dyDescent="0.25">
      <c r="A26" t="str">
        <f>المخزون!A25</f>
        <v>FORTHING S60</v>
      </c>
      <c r="B26">
        <f>المخزون!F25</f>
        <v>2023</v>
      </c>
      <c r="C26" s="2">
        <v>1000</v>
      </c>
      <c r="D26" s="2">
        <f>المخزون!E25</f>
        <v>13200</v>
      </c>
      <c r="E26" s="2">
        <f t="shared" si="0"/>
        <v>14200</v>
      </c>
      <c r="G26" s="4">
        <v>0.9</v>
      </c>
      <c r="H26" s="2">
        <f t="shared" si="1"/>
        <v>0</v>
      </c>
      <c r="I26" s="2">
        <v>500</v>
      </c>
      <c r="J26">
        <f t="shared" si="2"/>
        <v>500</v>
      </c>
      <c r="K26" s="3">
        <f t="shared" si="3"/>
        <v>14700</v>
      </c>
    </row>
    <row r="27" spans="1:11" x14ac:dyDescent="0.25">
      <c r="A27" t="str">
        <f>المخزون!A26</f>
        <v xml:space="preserve">NANO </v>
      </c>
      <c r="B27">
        <f>المخزون!F26</f>
        <v>2022</v>
      </c>
      <c r="C27" s="2">
        <v>1000</v>
      </c>
      <c r="D27" s="2">
        <f>المخزون!E26</f>
        <v>8700</v>
      </c>
      <c r="E27" s="2">
        <f t="shared" si="0"/>
        <v>9700</v>
      </c>
      <c r="G27" s="4">
        <v>0.9</v>
      </c>
      <c r="H27" s="2">
        <f t="shared" si="1"/>
        <v>0</v>
      </c>
      <c r="I27" s="2">
        <v>500</v>
      </c>
      <c r="J27">
        <f t="shared" si="2"/>
        <v>500</v>
      </c>
      <c r="K27" s="3">
        <f t="shared" si="3"/>
        <v>10200</v>
      </c>
    </row>
    <row r="28" spans="1:11" x14ac:dyDescent="0.25">
      <c r="A28" t="str">
        <f>المخزون!A27</f>
        <v>LEAP T03</v>
      </c>
      <c r="B28">
        <f>المخزون!F27</f>
        <v>2022</v>
      </c>
      <c r="C28" s="2">
        <v>1000</v>
      </c>
      <c r="D28" s="2">
        <f>المخزون!E27</f>
        <v>7700</v>
      </c>
      <c r="E28" s="2">
        <f t="shared" si="0"/>
        <v>8700</v>
      </c>
      <c r="G28" s="4">
        <v>0.9</v>
      </c>
      <c r="H28" s="2">
        <f t="shared" si="1"/>
        <v>0</v>
      </c>
      <c r="I28" s="2">
        <v>500</v>
      </c>
      <c r="J28">
        <f t="shared" si="2"/>
        <v>500</v>
      </c>
      <c r="K28" s="3">
        <f t="shared" si="3"/>
        <v>9200</v>
      </c>
    </row>
    <row r="29" spans="1:11" x14ac:dyDescent="0.25">
      <c r="A29" t="str">
        <f>المخزون!A28</f>
        <v>Nissan Sylphi</v>
      </c>
      <c r="B29">
        <f>المخزون!F28</f>
        <v>2019</v>
      </c>
      <c r="C29" s="2">
        <v>1000</v>
      </c>
      <c r="D29" s="2">
        <f>المخزون!E28</f>
        <v>8700</v>
      </c>
      <c r="E29" s="2">
        <f t="shared" si="0"/>
        <v>9700</v>
      </c>
      <c r="G29" s="4">
        <v>0.9</v>
      </c>
      <c r="H29" s="2">
        <f t="shared" si="1"/>
        <v>0</v>
      </c>
      <c r="I29" s="2">
        <v>500</v>
      </c>
      <c r="J29">
        <f t="shared" si="2"/>
        <v>500</v>
      </c>
      <c r="K29" s="3">
        <f t="shared" si="3"/>
        <v>10200</v>
      </c>
    </row>
    <row r="30" spans="1:11" x14ac:dyDescent="0.25">
      <c r="A30" t="str">
        <f>المخزون!A29</f>
        <v>Dong Feng Mage</v>
      </c>
      <c r="B30">
        <f>المخزون!F29</f>
        <v>2026</v>
      </c>
      <c r="C30" s="2">
        <v>1000</v>
      </c>
      <c r="D30" s="2">
        <f>المخزون!E29</f>
        <v>0</v>
      </c>
      <c r="E30" s="2">
        <f t="shared" si="0"/>
        <v>1000</v>
      </c>
      <c r="G30" s="4">
        <v>0.9</v>
      </c>
      <c r="H30" s="2">
        <f t="shared" si="1"/>
        <v>0</v>
      </c>
      <c r="I30" s="2">
        <v>500</v>
      </c>
      <c r="J30">
        <f t="shared" si="2"/>
        <v>500</v>
      </c>
      <c r="K30" s="3">
        <f t="shared" si="3"/>
        <v>1500</v>
      </c>
    </row>
    <row r="31" spans="1:11" x14ac:dyDescent="0.25">
      <c r="A31" t="str">
        <f>المخزون!A30</f>
        <v>BYD SONG plus</v>
      </c>
      <c r="B31">
        <f>المخزون!F30</f>
        <v>2024</v>
      </c>
      <c r="C31" s="2">
        <v>1000</v>
      </c>
      <c r="D31" s="2">
        <f>المخزون!E30</f>
        <v>24250</v>
      </c>
      <c r="E31" s="2">
        <f t="shared" si="0"/>
        <v>25250</v>
      </c>
      <c r="G31" s="4">
        <v>0.9</v>
      </c>
      <c r="H31" s="2">
        <f t="shared" si="1"/>
        <v>0</v>
      </c>
      <c r="I31" s="2">
        <v>500</v>
      </c>
      <c r="J31">
        <f t="shared" si="2"/>
        <v>500</v>
      </c>
      <c r="K31" s="3">
        <f t="shared" si="3"/>
        <v>25750</v>
      </c>
    </row>
    <row r="32" spans="1:11" x14ac:dyDescent="0.25">
      <c r="A32" t="str">
        <f>المخزون!A31</f>
        <v>Toyota BZ4</v>
      </c>
      <c r="B32">
        <f>المخزون!F31</f>
        <v>2022</v>
      </c>
      <c r="C32" s="2">
        <v>1000</v>
      </c>
      <c r="D32" s="2">
        <f>المخزون!E31</f>
        <v>22000</v>
      </c>
      <c r="E32" s="2">
        <f t="shared" si="0"/>
        <v>23000</v>
      </c>
      <c r="G32" s="4">
        <v>0.9</v>
      </c>
      <c r="H32" s="2">
        <f t="shared" si="1"/>
        <v>0</v>
      </c>
      <c r="I32" s="2">
        <v>500</v>
      </c>
      <c r="J32">
        <f t="shared" si="2"/>
        <v>500</v>
      </c>
      <c r="K32" s="3">
        <f t="shared" si="3"/>
        <v>23500</v>
      </c>
    </row>
    <row r="33" spans="1:11" x14ac:dyDescent="0.25">
      <c r="A33" t="str">
        <f>المخزون!A32</f>
        <v>Changan Eado</v>
      </c>
      <c r="B33">
        <f>المخزون!F32</f>
        <v>2026</v>
      </c>
      <c r="C33" s="2">
        <v>1000</v>
      </c>
      <c r="D33" s="2">
        <f>المخزون!E32</f>
        <v>17500</v>
      </c>
      <c r="E33" s="2">
        <f t="shared" si="0"/>
        <v>18500</v>
      </c>
      <c r="G33" s="4">
        <v>0.9</v>
      </c>
      <c r="H33" s="2">
        <f t="shared" si="1"/>
        <v>0</v>
      </c>
      <c r="I33" s="2">
        <v>500</v>
      </c>
      <c r="J33">
        <f t="shared" si="2"/>
        <v>500</v>
      </c>
      <c r="K33" s="3">
        <f t="shared" si="3"/>
        <v>19000</v>
      </c>
    </row>
    <row r="34" spans="1:11" x14ac:dyDescent="0.25">
      <c r="A34" t="str">
        <f>المخزون!A33</f>
        <v>Changan Eado</v>
      </c>
      <c r="B34">
        <f>المخزون!F33</f>
        <v>2026</v>
      </c>
      <c r="C34" s="2">
        <v>1000</v>
      </c>
      <c r="D34" s="2">
        <f>المخزون!E33</f>
        <v>16500</v>
      </c>
      <c r="E34" s="2">
        <f t="shared" si="0"/>
        <v>17500</v>
      </c>
      <c r="G34" s="4">
        <v>0.9</v>
      </c>
      <c r="H34" s="2">
        <f t="shared" si="1"/>
        <v>0</v>
      </c>
      <c r="I34" s="2">
        <v>500</v>
      </c>
      <c r="J34">
        <f t="shared" si="2"/>
        <v>500</v>
      </c>
      <c r="K34" s="3">
        <f t="shared" si="3"/>
        <v>18000</v>
      </c>
    </row>
    <row r="35" spans="1:11" x14ac:dyDescent="0.25">
      <c r="A35" t="str">
        <f>المخزون!A34</f>
        <v>Changan Eado</v>
      </c>
      <c r="B35">
        <f>المخزون!F34</f>
        <v>2023</v>
      </c>
      <c r="C35" s="2">
        <v>1000</v>
      </c>
      <c r="D35" s="2">
        <f>المخزون!E34</f>
        <v>14500</v>
      </c>
      <c r="E35" s="2">
        <f t="shared" si="0"/>
        <v>15500</v>
      </c>
      <c r="G35" s="4">
        <v>0.9</v>
      </c>
      <c r="H35" s="2">
        <f t="shared" si="1"/>
        <v>0</v>
      </c>
      <c r="I35" s="2">
        <v>500</v>
      </c>
      <c r="J35">
        <f t="shared" si="2"/>
        <v>500</v>
      </c>
      <c r="K35" s="3">
        <f t="shared" si="3"/>
        <v>16000</v>
      </c>
    </row>
    <row r="36" spans="1:11" x14ac:dyDescent="0.25">
      <c r="A36" t="str">
        <f>المخزون!A35</f>
        <v>Changan Eado</v>
      </c>
      <c r="B36">
        <f>المخزون!F35</f>
        <v>2022</v>
      </c>
      <c r="C36" s="2">
        <v>1000</v>
      </c>
      <c r="D36" s="2">
        <f>المخزون!E35</f>
        <v>13000</v>
      </c>
      <c r="E36" s="2">
        <f t="shared" si="0"/>
        <v>14000</v>
      </c>
      <c r="G36" s="4">
        <v>0.9</v>
      </c>
      <c r="H36" s="2">
        <f t="shared" si="1"/>
        <v>0</v>
      </c>
      <c r="I36" s="2">
        <v>500</v>
      </c>
      <c r="J36">
        <f t="shared" si="2"/>
        <v>500</v>
      </c>
      <c r="K36" s="3">
        <f t="shared" si="3"/>
        <v>14500</v>
      </c>
    </row>
    <row r="37" spans="1:11" x14ac:dyDescent="0.25">
      <c r="A37" t="str">
        <f>المخزون!A36</f>
        <v>Song pro</v>
      </c>
      <c r="B37">
        <f>المخزون!F36</f>
        <v>2025</v>
      </c>
      <c r="C37" s="2">
        <v>1000</v>
      </c>
      <c r="D37" s="2">
        <f>المخزون!E36</f>
        <v>22000</v>
      </c>
      <c r="E37" s="2">
        <f t="shared" si="0"/>
        <v>23000</v>
      </c>
      <c r="G37" s="4">
        <v>0.9</v>
      </c>
      <c r="H37" s="2">
        <f t="shared" si="1"/>
        <v>0</v>
      </c>
      <c r="I37" s="2">
        <v>500</v>
      </c>
      <c r="J37">
        <f t="shared" si="2"/>
        <v>500</v>
      </c>
      <c r="K37" s="3">
        <f t="shared" si="3"/>
        <v>23500</v>
      </c>
    </row>
    <row r="38" spans="1:11" x14ac:dyDescent="0.25">
      <c r="A38" t="str">
        <f>المخزون!A37</f>
        <v>BYD QUIN L</v>
      </c>
      <c r="B38">
        <f>المخزون!F37</f>
        <v>2025</v>
      </c>
      <c r="C38" s="2">
        <v>1000</v>
      </c>
      <c r="D38" s="2">
        <f>المخزون!E37</f>
        <v>0</v>
      </c>
      <c r="E38" s="2">
        <f t="shared" si="0"/>
        <v>1000</v>
      </c>
      <c r="G38" s="4">
        <v>0.9</v>
      </c>
      <c r="H38" s="2">
        <f t="shared" si="1"/>
        <v>0</v>
      </c>
      <c r="I38" s="2">
        <v>500</v>
      </c>
      <c r="J38">
        <f t="shared" si="2"/>
        <v>500</v>
      </c>
      <c r="K38" s="3">
        <f t="shared" si="3"/>
        <v>1500</v>
      </c>
    </row>
    <row r="39" spans="1:11" x14ac:dyDescent="0.25">
      <c r="A39">
        <f>المخزون!A38</f>
        <v>0</v>
      </c>
      <c r="B39">
        <f>المخزون!F38</f>
        <v>0</v>
      </c>
      <c r="C39" s="2">
        <v>1000</v>
      </c>
      <c r="D39" s="2">
        <f>المخزون!E38</f>
        <v>0</v>
      </c>
      <c r="E39" s="2">
        <f t="shared" si="0"/>
        <v>1000</v>
      </c>
      <c r="G39" s="4">
        <v>0.9</v>
      </c>
      <c r="H39" s="2">
        <f t="shared" si="1"/>
        <v>0</v>
      </c>
      <c r="I39" s="2">
        <v>500</v>
      </c>
      <c r="J39">
        <f t="shared" si="2"/>
        <v>500</v>
      </c>
      <c r="K39" s="3">
        <f t="shared" si="3"/>
        <v>1500</v>
      </c>
    </row>
    <row r="40" spans="1:11" x14ac:dyDescent="0.25">
      <c r="A40">
        <f>المخزون!A39</f>
        <v>0</v>
      </c>
      <c r="B40">
        <f>المخزون!F39</f>
        <v>0</v>
      </c>
      <c r="C40" s="2">
        <v>1000</v>
      </c>
      <c r="D40" s="2">
        <f>المخزون!E39</f>
        <v>0</v>
      </c>
      <c r="E40" s="2">
        <f t="shared" si="0"/>
        <v>1000</v>
      </c>
      <c r="G40" s="4">
        <v>0.9</v>
      </c>
      <c r="H40" s="2">
        <f t="shared" si="1"/>
        <v>0</v>
      </c>
      <c r="I40" s="2">
        <v>500</v>
      </c>
      <c r="J40">
        <f t="shared" si="2"/>
        <v>500</v>
      </c>
      <c r="K40" s="3">
        <f t="shared" si="3"/>
        <v>1500</v>
      </c>
    </row>
    <row r="41" spans="1:11" x14ac:dyDescent="0.25">
      <c r="A41">
        <f>المخزون!A40</f>
        <v>0</v>
      </c>
      <c r="B41">
        <f>المخزون!F40</f>
        <v>0</v>
      </c>
      <c r="C41" s="2">
        <v>1000</v>
      </c>
      <c r="D41" s="2">
        <f>المخزون!E40</f>
        <v>0</v>
      </c>
      <c r="E41" s="2">
        <f t="shared" si="0"/>
        <v>1000</v>
      </c>
      <c r="G41" s="4">
        <v>0.9</v>
      </c>
      <c r="H41" s="2">
        <f t="shared" si="1"/>
        <v>0</v>
      </c>
      <c r="I41" s="2">
        <v>500</v>
      </c>
      <c r="J41">
        <f t="shared" si="2"/>
        <v>500</v>
      </c>
      <c r="K41" s="3">
        <f t="shared" si="3"/>
        <v>1500</v>
      </c>
    </row>
    <row r="42" spans="1:11" x14ac:dyDescent="0.25">
      <c r="A42">
        <f>المخزون!A41</f>
        <v>0</v>
      </c>
      <c r="B42">
        <f>المخزون!F41</f>
        <v>0</v>
      </c>
      <c r="C42" s="2">
        <v>1000</v>
      </c>
      <c r="D42" s="2">
        <f>المخزون!E41</f>
        <v>0</v>
      </c>
      <c r="E42" s="2">
        <f t="shared" si="0"/>
        <v>1000</v>
      </c>
      <c r="G42" s="4">
        <v>0.9</v>
      </c>
      <c r="H42" s="2">
        <f t="shared" si="1"/>
        <v>0</v>
      </c>
      <c r="I42" s="2">
        <v>500</v>
      </c>
      <c r="J42">
        <f t="shared" si="2"/>
        <v>500</v>
      </c>
      <c r="K42" s="3">
        <f t="shared" si="3"/>
        <v>1500</v>
      </c>
    </row>
    <row r="43" spans="1:11" x14ac:dyDescent="0.25">
      <c r="A43">
        <f>المخزون!A42</f>
        <v>0</v>
      </c>
      <c r="B43">
        <f>المخزون!F42</f>
        <v>0</v>
      </c>
      <c r="C43" s="2">
        <v>1000</v>
      </c>
      <c r="D43" s="2">
        <f>المخزون!E42</f>
        <v>0</v>
      </c>
      <c r="E43" s="2">
        <f t="shared" si="0"/>
        <v>1000</v>
      </c>
      <c r="G43" s="4">
        <v>0.9</v>
      </c>
      <c r="H43" s="2">
        <f t="shared" si="1"/>
        <v>0</v>
      </c>
      <c r="I43" s="2">
        <v>500</v>
      </c>
      <c r="J43">
        <f t="shared" si="2"/>
        <v>500</v>
      </c>
      <c r="K43" s="3">
        <f t="shared" si="3"/>
        <v>1500</v>
      </c>
    </row>
    <row r="44" spans="1:11" x14ac:dyDescent="0.25">
      <c r="A44">
        <f>المخزون!A43</f>
        <v>0</v>
      </c>
      <c r="B44">
        <f>المخزون!F43</f>
        <v>0</v>
      </c>
      <c r="C44" s="2">
        <v>1000</v>
      </c>
      <c r="D44" s="2">
        <f>المخزون!E43</f>
        <v>0</v>
      </c>
      <c r="E44" s="2">
        <f t="shared" si="0"/>
        <v>1000</v>
      </c>
      <c r="G44" s="4">
        <v>0.9</v>
      </c>
      <c r="H44" s="2">
        <f t="shared" si="1"/>
        <v>0</v>
      </c>
      <c r="I44" s="2">
        <v>500</v>
      </c>
      <c r="J44">
        <f t="shared" si="2"/>
        <v>500</v>
      </c>
      <c r="K44" s="3">
        <f t="shared" si="3"/>
        <v>1500</v>
      </c>
    </row>
    <row r="45" spans="1:11" x14ac:dyDescent="0.25">
      <c r="A45">
        <f>المخزون!A44</f>
        <v>0</v>
      </c>
      <c r="B45">
        <f>المخزون!F44</f>
        <v>0</v>
      </c>
      <c r="C45" s="2">
        <v>1000</v>
      </c>
      <c r="D45" s="2">
        <f>المخزون!E44</f>
        <v>0</v>
      </c>
      <c r="E45" s="2">
        <f t="shared" si="0"/>
        <v>1000</v>
      </c>
      <c r="G45" s="4">
        <v>0.9</v>
      </c>
      <c r="H45" s="2">
        <f t="shared" si="1"/>
        <v>0</v>
      </c>
      <c r="I45" s="2">
        <v>500</v>
      </c>
      <c r="J45">
        <f t="shared" si="2"/>
        <v>500</v>
      </c>
      <c r="K45" s="3">
        <f t="shared" si="3"/>
        <v>1500</v>
      </c>
    </row>
    <row r="46" spans="1:11" x14ac:dyDescent="0.25">
      <c r="A46">
        <f>المخزون!A45</f>
        <v>0</v>
      </c>
      <c r="B46">
        <f>المخزون!F45</f>
        <v>0</v>
      </c>
      <c r="C46" s="2">
        <v>1000</v>
      </c>
      <c r="D46" s="2">
        <f>المخزون!E45</f>
        <v>0</v>
      </c>
      <c r="E46" s="2">
        <f t="shared" si="0"/>
        <v>1000</v>
      </c>
      <c r="G46" s="4">
        <v>0.9</v>
      </c>
      <c r="H46" s="2">
        <f t="shared" si="1"/>
        <v>0</v>
      </c>
      <c r="I46" s="2">
        <v>500</v>
      </c>
      <c r="J46">
        <f t="shared" si="2"/>
        <v>500</v>
      </c>
      <c r="K46" s="3">
        <f t="shared" si="3"/>
        <v>1500</v>
      </c>
    </row>
    <row r="47" spans="1:11" x14ac:dyDescent="0.25">
      <c r="A47">
        <f>المخزون!A46</f>
        <v>0</v>
      </c>
      <c r="B47">
        <f>المخزون!F46</f>
        <v>0</v>
      </c>
      <c r="C47" s="2">
        <v>1000</v>
      </c>
      <c r="D47" s="2">
        <f>المخزون!E46</f>
        <v>0</v>
      </c>
      <c r="E47" s="2">
        <f t="shared" si="0"/>
        <v>1000</v>
      </c>
      <c r="G47" s="4">
        <v>0.9</v>
      </c>
      <c r="H47" s="2">
        <f t="shared" si="1"/>
        <v>0</v>
      </c>
      <c r="I47" s="2">
        <v>500</v>
      </c>
      <c r="J47">
        <f t="shared" si="2"/>
        <v>500</v>
      </c>
      <c r="K47" s="3">
        <f t="shared" si="3"/>
        <v>1500</v>
      </c>
    </row>
    <row r="48" spans="1:11" x14ac:dyDescent="0.25">
      <c r="A48">
        <f>المخزون!A47</f>
        <v>0</v>
      </c>
      <c r="B48">
        <f>المخزون!F47</f>
        <v>0</v>
      </c>
      <c r="C48" s="2">
        <v>1000</v>
      </c>
      <c r="D48" s="2">
        <f>المخزون!E47</f>
        <v>0</v>
      </c>
      <c r="E48" s="2">
        <f t="shared" si="0"/>
        <v>1000</v>
      </c>
      <c r="G48" s="4">
        <v>0.9</v>
      </c>
      <c r="H48" s="2">
        <f t="shared" si="1"/>
        <v>0</v>
      </c>
      <c r="I48" s="2">
        <v>500</v>
      </c>
      <c r="J48">
        <f t="shared" si="2"/>
        <v>500</v>
      </c>
      <c r="K48" s="3">
        <f t="shared" si="3"/>
        <v>1500</v>
      </c>
    </row>
    <row r="49" spans="1:11" x14ac:dyDescent="0.25">
      <c r="A49">
        <f>المخزون!A48</f>
        <v>0</v>
      </c>
      <c r="B49">
        <f>المخزون!F48</f>
        <v>0</v>
      </c>
      <c r="C49" s="2">
        <v>1000</v>
      </c>
      <c r="D49" s="2">
        <f>المخزون!E48</f>
        <v>0</v>
      </c>
      <c r="E49" s="2">
        <f t="shared" si="0"/>
        <v>1000</v>
      </c>
      <c r="G49" s="4">
        <v>0.9</v>
      </c>
      <c r="H49" s="2">
        <f t="shared" si="1"/>
        <v>0</v>
      </c>
      <c r="I49" s="2">
        <v>500</v>
      </c>
      <c r="J49">
        <f t="shared" si="2"/>
        <v>500</v>
      </c>
      <c r="K49" s="3">
        <f t="shared" si="3"/>
        <v>1500</v>
      </c>
    </row>
    <row r="50" spans="1:11" x14ac:dyDescent="0.25">
      <c r="A50">
        <f>المخزون!A49</f>
        <v>0</v>
      </c>
      <c r="B50">
        <f>المخزون!F49</f>
        <v>0</v>
      </c>
      <c r="C50" s="2">
        <v>1000</v>
      </c>
      <c r="D50" s="2">
        <f>المخزون!E49</f>
        <v>0</v>
      </c>
      <c r="E50" s="2">
        <f t="shared" si="0"/>
        <v>1000</v>
      </c>
      <c r="G50" s="4">
        <v>0.9</v>
      </c>
      <c r="H50" s="2">
        <f t="shared" si="1"/>
        <v>0</v>
      </c>
      <c r="I50" s="2">
        <v>500</v>
      </c>
      <c r="J50">
        <f t="shared" si="2"/>
        <v>500</v>
      </c>
      <c r="K50" s="3">
        <f t="shared" si="3"/>
        <v>1500</v>
      </c>
    </row>
    <row r="51" spans="1:11" x14ac:dyDescent="0.25">
      <c r="A51">
        <f>المخزون!A50</f>
        <v>0</v>
      </c>
      <c r="B51">
        <f>المخزون!F50</f>
        <v>0</v>
      </c>
      <c r="C51" s="2">
        <v>1000</v>
      </c>
      <c r="D51" s="2">
        <f>المخزون!E50</f>
        <v>0</v>
      </c>
      <c r="E51" s="2">
        <f t="shared" si="0"/>
        <v>1000</v>
      </c>
      <c r="G51" s="4">
        <v>0.9</v>
      </c>
      <c r="H51" s="2">
        <f t="shared" si="1"/>
        <v>0</v>
      </c>
      <c r="I51" s="2">
        <v>500</v>
      </c>
      <c r="J51">
        <f t="shared" si="2"/>
        <v>500</v>
      </c>
      <c r="K51" s="3">
        <f t="shared" si="3"/>
        <v>1500</v>
      </c>
    </row>
    <row r="52" spans="1:11" x14ac:dyDescent="0.25">
      <c r="A52">
        <f>المخزون!A51</f>
        <v>0</v>
      </c>
      <c r="B52">
        <f>المخزون!F51</f>
        <v>0</v>
      </c>
      <c r="C52" s="2">
        <v>1000</v>
      </c>
      <c r="D52" s="2">
        <f>المخزون!E37</f>
        <v>0</v>
      </c>
      <c r="E52" s="2">
        <f t="shared" si="0"/>
        <v>1000</v>
      </c>
      <c r="G52" s="4">
        <v>0.9</v>
      </c>
      <c r="H52" s="2">
        <f t="shared" si="1"/>
        <v>0</v>
      </c>
      <c r="I52" s="2">
        <v>500</v>
      </c>
      <c r="J52">
        <f t="shared" si="2"/>
        <v>500</v>
      </c>
      <c r="K52" s="3">
        <f t="shared" si="3"/>
        <v>1500</v>
      </c>
    </row>
    <row r="53" spans="1:11" x14ac:dyDescent="0.25">
      <c r="A53">
        <f>المخزون!A52</f>
        <v>0</v>
      </c>
      <c r="B53">
        <f>المخزون!F52</f>
        <v>0</v>
      </c>
      <c r="C53" s="2">
        <v>1000</v>
      </c>
      <c r="D53" s="2">
        <f>المخزون!E38</f>
        <v>0</v>
      </c>
      <c r="E53" s="2">
        <f t="shared" si="0"/>
        <v>1000</v>
      </c>
      <c r="G53" s="4">
        <v>0.9</v>
      </c>
      <c r="H53" s="2">
        <f t="shared" si="1"/>
        <v>0</v>
      </c>
      <c r="I53" s="2">
        <v>500</v>
      </c>
      <c r="J53">
        <f t="shared" si="2"/>
        <v>500</v>
      </c>
      <c r="K53" s="3">
        <f t="shared" si="3"/>
        <v>1500</v>
      </c>
    </row>
    <row r="54" spans="1:11" x14ac:dyDescent="0.25">
      <c r="A54">
        <f>المخزون!A53</f>
        <v>0</v>
      </c>
      <c r="B54">
        <f>المخزون!F53</f>
        <v>0</v>
      </c>
      <c r="C54" s="2">
        <v>1000</v>
      </c>
      <c r="D54" s="2">
        <f>المخزون!E39</f>
        <v>0</v>
      </c>
      <c r="E54" s="2">
        <f t="shared" si="0"/>
        <v>1000</v>
      </c>
      <c r="G54" s="4">
        <v>0.9</v>
      </c>
      <c r="H54" s="2">
        <f t="shared" si="1"/>
        <v>0</v>
      </c>
      <c r="I54" s="2">
        <v>500</v>
      </c>
      <c r="J54">
        <f t="shared" si="2"/>
        <v>500</v>
      </c>
      <c r="K54" s="3">
        <f t="shared" si="3"/>
        <v>1500</v>
      </c>
    </row>
    <row r="55" spans="1:11" x14ac:dyDescent="0.25">
      <c r="A55">
        <f>المخزون!A54</f>
        <v>0</v>
      </c>
      <c r="B55">
        <f>المخزون!F54</f>
        <v>0</v>
      </c>
      <c r="C55" s="2">
        <v>1000</v>
      </c>
      <c r="D55" s="2">
        <f>المخزون!E40</f>
        <v>0</v>
      </c>
      <c r="E55" s="2">
        <f t="shared" si="0"/>
        <v>1000</v>
      </c>
      <c r="G55" s="4">
        <v>0.9</v>
      </c>
      <c r="H55" s="2">
        <f t="shared" si="1"/>
        <v>0</v>
      </c>
      <c r="I55" s="2">
        <v>500</v>
      </c>
      <c r="J55">
        <f t="shared" si="2"/>
        <v>500</v>
      </c>
      <c r="K55" s="3">
        <f t="shared" si="3"/>
        <v>1500</v>
      </c>
    </row>
    <row r="56" spans="1:11" x14ac:dyDescent="0.25">
      <c r="A56">
        <f>المخزون!A55</f>
        <v>0</v>
      </c>
      <c r="B56">
        <f>المخزون!F55</f>
        <v>0</v>
      </c>
      <c r="C56" s="2">
        <v>1000</v>
      </c>
      <c r="D56" s="2">
        <f>المخزون!E41</f>
        <v>0</v>
      </c>
      <c r="E56" s="2">
        <f t="shared" si="0"/>
        <v>1000</v>
      </c>
      <c r="G56" s="4">
        <v>0.9</v>
      </c>
      <c r="H56" s="2">
        <f t="shared" si="1"/>
        <v>0</v>
      </c>
      <c r="I56" s="2">
        <v>500</v>
      </c>
      <c r="J56">
        <f t="shared" si="2"/>
        <v>500</v>
      </c>
      <c r="K56" s="3">
        <f t="shared" si="3"/>
        <v>1500</v>
      </c>
    </row>
    <row r="57" spans="1:11" x14ac:dyDescent="0.25">
      <c r="A57">
        <f>المخزون!A56</f>
        <v>0</v>
      </c>
      <c r="B57">
        <f>المخزون!F56</f>
        <v>0</v>
      </c>
      <c r="C57" s="2">
        <v>1000</v>
      </c>
      <c r="D57" s="2">
        <f>المخزون!E42</f>
        <v>0</v>
      </c>
      <c r="E57" s="2">
        <f t="shared" si="0"/>
        <v>1000</v>
      </c>
      <c r="G57" s="4">
        <v>0.9</v>
      </c>
      <c r="H57" s="2">
        <f t="shared" si="1"/>
        <v>0</v>
      </c>
      <c r="I57" s="2">
        <v>500</v>
      </c>
      <c r="J57">
        <f t="shared" si="2"/>
        <v>500</v>
      </c>
      <c r="K57" s="3">
        <f t="shared" si="3"/>
        <v>1500</v>
      </c>
    </row>
    <row r="58" spans="1:11" x14ac:dyDescent="0.25">
      <c r="A58">
        <f>المخزون!A57</f>
        <v>0</v>
      </c>
      <c r="B58">
        <f>المخزون!F43</f>
        <v>0</v>
      </c>
      <c r="C58" s="2">
        <v>1000</v>
      </c>
      <c r="D58" s="2">
        <f>المخزون!E43</f>
        <v>0</v>
      </c>
      <c r="E58" s="2">
        <f t="shared" si="0"/>
        <v>1000</v>
      </c>
      <c r="G58" s="4">
        <v>0.9</v>
      </c>
      <c r="H58" s="2">
        <f t="shared" si="1"/>
        <v>0</v>
      </c>
      <c r="I58" s="2">
        <v>500</v>
      </c>
      <c r="J58">
        <f t="shared" si="2"/>
        <v>500</v>
      </c>
      <c r="K58" s="3">
        <f t="shared" si="3"/>
        <v>1500</v>
      </c>
    </row>
    <row r="59" spans="1:11" x14ac:dyDescent="0.25">
      <c r="A59">
        <f>المخزون!A58</f>
        <v>0</v>
      </c>
      <c r="B59">
        <f>المخزون!F40</f>
        <v>0</v>
      </c>
      <c r="C59" s="2">
        <v>1000</v>
      </c>
      <c r="D59" s="2">
        <f>المخزون!E40</f>
        <v>0</v>
      </c>
      <c r="E59" s="2">
        <f t="shared" si="0"/>
        <v>1000</v>
      </c>
      <c r="G59" s="4">
        <v>0.9</v>
      </c>
      <c r="H59" s="2">
        <f t="shared" si="1"/>
        <v>0</v>
      </c>
      <c r="I59" s="2">
        <v>500</v>
      </c>
      <c r="J59">
        <f t="shared" si="2"/>
        <v>500</v>
      </c>
      <c r="K59" s="3">
        <f t="shared" si="3"/>
        <v>1500</v>
      </c>
    </row>
    <row r="60" spans="1:11" x14ac:dyDescent="0.25">
      <c r="A60">
        <f>المخزون!A41</f>
        <v>0</v>
      </c>
      <c r="B60">
        <f>المخزون!F41</f>
        <v>0</v>
      </c>
      <c r="C60" s="2">
        <v>1000</v>
      </c>
      <c r="D60" s="2">
        <f>المخزون!E41</f>
        <v>0</v>
      </c>
      <c r="E60" s="2">
        <f t="shared" si="0"/>
        <v>1000</v>
      </c>
      <c r="G60" s="4">
        <v>0.9</v>
      </c>
      <c r="H60" s="2">
        <f t="shared" si="1"/>
        <v>0</v>
      </c>
      <c r="I60" s="2">
        <v>500</v>
      </c>
      <c r="J60">
        <f t="shared" si="2"/>
        <v>500</v>
      </c>
      <c r="K60" s="3">
        <f t="shared" si="3"/>
        <v>1500</v>
      </c>
    </row>
    <row r="61" spans="1:11" x14ac:dyDescent="0.25">
      <c r="A61">
        <f>المخزون!A42</f>
        <v>0</v>
      </c>
      <c r="B61">
        <f>المخزون!F42</f>
        <v>0</v>
      </c>
      <c r="C61" s="2">
        <v>1000</v>
      </c>
      <c r="D61" s="2">
        <f>المخزون!E42</f>
        <v>0</v>
      </c>
      <c r="E61" s="2">
        <f t="shared" si="0"/>
        <v>1000</v>
      </c>
      <c r="G61" s="4">
        <v>0.9</v>
      </c>
      <c r="H61" s="2">
        <f t="shared" si="1"/>
        <v>0</v>
      </c>
      <c r="I61" s="2">
        <v>500</v>
      </c>
      <c r="J61">
        <f t="shared" si="2"/>
        <v>500</v>
      </c>
      <c r="K61" s="3">
        <f t="shared" si="3"/>
        <v>1500</v>
      </c>
    </row>
    <row r="62" spans="1:11" x14ac:dyDescent="0.25">
      <c r="A62">
        <f>المخزون!A43</f>
        <v>0</v>
      </c>
      <c r="B62">
        <f>المخزون!F43</f>
        <v>0</v>
      </c>
      <c r="C62" s="2">
        <v>1000</v>
      </c>
      <c r="D62" s="2">
        <f>المخزون!E43</f>
        <v>0</v>
      </c>
      <c r="E62" s="2">
        <f t="shared" si="0"/>
        <v>1000</v>
      </c>
      <c r="G62" s="4">
        <v>0.9</v>
      </c>
      <c r="H62" s="2">
        <f t="shared" si="1"/>
        <v>0</v>
      </c>
      <c r="I62" s="2">
        <v>500</v>
      </c>
      <c r="J62">
        <f t="shared" si="2"/>
        <v>500</v>
      </c>
      <c r="K62" s="3">
        <f t="shared" si="3"/>
        <v>1500</v>
      </c>
    </row>
    <row r="63" spans="1:11" x14ac:dyDescent="0.25">
      <c r="A63">
        <f>المخزون!A44</f>
        <v>0</v>
      </c>
      <c r="B63">
        <f>المخزون!F44</f>
        <v>0</v>
      </c>
      <c r="C63" s="2">
        <v>1000</v>
      </c>
      <c r="D63" s="2">
        <f>المخزون!E44</f>
        <v>0</v>
      </c>
      <c r="E63" s="2">
        <f t="shared" si="0"/>
        <v>1000</v>
      </c>
      <c r="G63" s="4">
        <v>0.9</v>
      </c>
      <c r="H63" s="2">
        <f t="shared" si="1"/>
        <v>0</v>
      </c>
      <c r="I63" s="2">
        <v>500</v>
      </c>
      <c r="J63">
        <f t="shared" si="2"/>
        <v>500</v>
      </c>
      <c r="K63" s="3">
        <f t="shared" si="3"/>
        <v>1500</v>
      </c>
    </row>
  </sheetData>
  <mergeCells count="19">
    <mergeCell ref="L1:Q1"/>
    <mergeCell ref="L2:Q3"/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4:Q4"/>
    <mergeCell ref="L5:Q5"/>
    <mergeCell ref="L6:Q6"/>
    <mergeCell ref="L7:Q7"/>
    <mergeCell ref="L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Guide</vt:lpstr>
      <vt:lpstr>المخزون</vt:lpstr>
      <vt:lpstr>المتخصصة للتمويل</vt:lpstr>
      <vt:lpstr>الكوثر</vt:lpstr>
      <vt:lpstr>بندار</vt:lpstr>
      <vt:lpstr>تمكين</vt:lpstr>
      <vt:lpstr>السماحة</vt:lpstr>
      <vt:lpstr>دار التمويل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 -Alatiwi</dc:creator>
  <cp:lastModifiedBy>user</cp:lastModifiedBy>
  <cp:lastPrinted>2026-06-04T12:59:13Z</cp:lastPrinted>
  <dcterms:created xsi:type="dcterms:W3CDTF">2015-06-05T18:17:20Z</dcterms:created>
  <dcterms:modified xsi:type="dcterms:W3CDTF">2026-06-14T15:09:13Z</dcterms:modified>
</cp:coreProperties>
</file>