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57AE43-3EE8-46CF-BD2D-F67C93FACDD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السماحة" sheetId="6" r:id="rId1"/>
    <sheet name="دار التمويل" sheetId="7" r:id="rId2"/>
    <sheet name="شركة الكوثر" sheetId="8" r:id="rId3"/>
    <sheet name="تمكين" sheetId="9" r:id="rId4"/>
    <sheet name="بندار " sheetId="10" r:id="rId5"/>
    <sheet name="اخرى" sheetId="1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2" l="1"/>
  <c r="E17" i="12"/>
  <c r="E16" i="12"/>
  <c r="M6" i="12" s="1"/>
  <c r="I15" i="12"/>
  <c r="I14" i="12" s="1"/>
  <c r="E15" i="12"/>
  <c r="E14" i="12"/>
  <c r="E13" i="12"/>
  <c r="I17" i="10"/>
  <c r="E17" i="10"/>
  <c r="E16" i="10"/>
  <c r="M6" i="10" s="1"/>
  <c r="I15" i="10"/>
  <c r="I14" i="10" s="1"/>
  <c r="E15" i="10"/>
  <c r="E14" i="10"/>
  <c r="E13" i="10"/>
  <c r="I17" i="9"/>
  <c r="E17" i="9"/>
  <c r="E16" i="9"/>
  <c r="I15" i="9"/>
  <c r="I14" i="9" s="1"/>
  <c r="E15" i="9"/>
  <c r="E14" i="9"/>
  <c r="E13" i="9"/>
  <c r="E16" i="8"/>
  <c r="M6" i="8" s="1"/>
  <c r="I17" i="8"/>
  <c r="E17" i="8"/>
  <c r="I15" i="8"/>
  <c r="I14" i="8" s="1"/>
  <c r="E15" i="8"/>
  <c r="E14" i="8"/>
  <c r="E13" i="8"/>
  <c r="E16" i="7"/>
  <c r="M6" i="7" s="1"/>
  <c r="I17" i="7"/>
  <c r="E17" i="7"/>
  <c r="I15" i="7"/>
  <c r="I14" i="7" s="1"/>
  <c r="E15" i="7"/>
  <c r="E14" i="7"/>
  <c r="E13" i="7"/>
  <c r="I17" i="6"/>
  <c r="I15" i="6"/>
  <c r="I14" i="6" s="1"/>
  <c r="E17" i="6"/>
  <c r="E16" i="6"/>
  <c r="M6" i="6" s="1"/>
  <c r="E15" i="6"/>
  <c r="E14" i="6"/>
  <c r="E13" i="6"/>
  <c r="I13" i="8" l="1"/>
  <c r="I13" i="12"/>
  <c r="E18" i="12" s="1"/>
  <c r="I16" i="12" s="1"/>
  <c r="E19" i="12" s="1"/>
  <c r="I19" i="12" s="1"/>
  <c r="E18" i="8"/>
  <c r="I16" i="8" s="1"/>
  <c r="E19" i="8" s="1"/>
  <c r="I13" i="10"/>
  <c r="E18" i="10" s="1"/>
  <c r="I16" i="10" s="1"/>
  <c r="E19" i="10" s="1"/>
  <c r="I13" i="9"/>
  <c r="E18" i="9" s="1"/>
  <c r="I16" i="9" s="1"/>
  <c r="M6" i="9"/>
  <c r="I13" i="7"/>
  <c r="E18" i="7" s="1"/>
  <c r="I16" i="7" s="1"/>
  <c r="I13" i="6"/>
  <c r="E18" i="6" s="1"/>
  <c r="I16" i="6" s="1"/>
  <c r="E19" i="6" s="1"/>
  <c r="I19" i="8" l="1"/>
  <c r="I18" i="8" s="1"/>
  <c r="G20" i="12"/>
  <c r="I18" i="12"/>
  <c r="I19" i="10"/>
  <c r="G20" i="10" s="1"/>
  <c r="E19" i="9"/>
  <c r="I19" i="9" s="1"/>
  <c r="E19" i="7"/>
  <c r="I19" i="7" s="1"/>
  <c r="I19" i="6"/>
  <c r="I18" i="10" l="1"/>
  <c r="G20" i="8"/>
  <c r="I18" i="9"/>
  <c r="G20" i="9"/>
  <c r="I18" i="7"/>
  <c r="G20" i="7"/>
  <c r="G20" i="6"/>
  <c r="I18" i="6"/>
</calcChain>
</file>

<file path=xl/sharedStrings.xml><?xml version="1.0" encoding="utf-8"?>
<sst xmlns="http://schemas.openxmlformats.org/spreadsheetml/2006/main" count="150" uniqueCount="24">
  <si>
    <t>التأمين التبادلي</t>
  </si>
  <si>
    <t>فترة السماح</t>
  </si>
  <si>
    <t>الدفعة المقدمه</t>
  </si>
  <si>
    <t>مدة التمويل بالسنوات</t>
  </si>
  <si>
    <t>مدة التمويل بالاشهر</t>
  </si>
  <si>
    <t>نسبة المرابحة السنوية</t>
  </si>
  <si>
    <t>مجموع نسبة المرابحة</t>
  </si>
  <si>
    <t>مدة التمويل بدون فترة السماح</t>
  </si>
  <si>
    <t>قترة السماح</t>
  </si>
  <si>
    <t>ربح الشركة</t>
  </si>
  <si>
    <t>القسط الشهري</t>
  </si>
  <si>
    <t>مدة السداد بالاشهر</t>
  </si>
  <si>
    <t>مؤسسة عصر الازدهار للسيارات</t>
  </si>
  <si>
    <t>سعرالسيارة</t>
  </si>
  <si>
    <t>سعر السيارة</t>
  </si>
  <si>
    <t>مبلغ التمويل</t>
  </si>
  <si>
    <t>كامل قيمة السيارة</t>
  </si>
  <si>
    <t>التامين التبادلي</t>
  </si>
  <si>
    <t>اجمالي المديونية (بدون التأمين)</t>
  </si>
  <si>
    <t xml:space="preserve">اجمالي المديونية  </t>
  </si>
  <si>
    <t>عمولات تنفيذ (مضافة على التمويل)</t>
  </si>
  <si>
    <t>مصاريف التنفيذ</t>
  </si>
  <si>
    <t>قيمة التخمين المطلوب</t>
  </si>
  <si>
    <t>الدفعة الاولى الفعلية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</si>
</sst>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name val="Calibri"/>
      <family val="2"/>
      <charset val="178"/>
      <scheme val="minor"/>
    </font>
    <font>
      <b/>
      <sz val="11"/>
      <name val="BatangChe"/>
      <family val="3"/>
    </font>
    <font>
      <b/>
      <sz val="11"/>
      <name val="Bauhaus 93"/>
      <family val="5"/>
    </font>
    <font>
      <b/>
      <sz val="16"/>
      <name val="Bauhaus 93"/>
      <family val="5"/>
    </font>
    <font>
      <sz val="24"/>
      <color theme="0"/>
      <name val="Andalus"/>
      <family val="1"/>
    </font>
    <font>
      <sz val="11"/>
      <color theme="1"/>
      <name val="Calibri"/>
      <family val="2"/>
      <charset val="178"/>
      <scheme val="minor"/>
    </font>
    <font>
      <b/>
      <sz val="9"/>
      <name val="Bauhaus 93"/>
      <family val="5"/>
    </font>
    <font>
      <b/>
      <sz val="8"/>
      <name val="Bauhaus 93"/>
      <family val="5"/>
    </font>
    <font>
      <b/>
      <sz val="9"/>
      <name val="BatangChe"/>
      <family val="3"/>
    </font>
    <font>
      <sz val="11"/>
      <color rgb="FFFF0000"/>
      <name val="BatangChe"/>
      <family val="3"/>
      <charset val="129"/>
    </font>
    <font>
      <b/>
      <sz val="11"/>
      <color rgb="FFFF0000"/>
      <name val="BatangChe"/>
      <family val="3"/>
      <charset val="129"/>
    </font>
    <font>
      <b/>
      <sz val="11"/>
      <color theme="1"/>
      <name val="Calibri"/>
      <family val="2"/>
      <scheme val="minor"/>
    </font>
    <font>
      <b/>
      <sz val="10"/>
      <name val="Bauhaus 93"/>
      <family val="5"/>
    </font>
    <font>
      <b/>
      <sz val="2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7" fillId="0" borderId="0" applyFont="0" applyFill="0" applyBorder="0" applyAlignment="0" applyProtection="0"/>
  </cellStyleXfs>
  <cellXfs count="116">
    <xf numFmtId="0" fontId="0" fillId="0" borderId="0" xfId="0"/>
    <xf numFmtId="0" fontId="2" fillId="3" borderId="13" xfId="1" applyFont="1" applyFill="1" applyBorder="1"/>
    <xf numFmtId="0" fontId="2" fillId="3" borderId="14" xfId="1" applyFont="1" applyFill="1" applyBorder="1"/>
    <xf numFmtId="0" fontId="2" fillId="3" borderId="15" xfId="1" applyFont="1" applyFill="1" applyBorder="1"/>
    <xf numFmtId="0" fontId="2" fillId="3" borderId="16" xfId="1" applyFont="1" applyFill="1" applyBorder="1"/>
    <xf numFmtId="0" fontId="2" fillId="3" borderId="17" xfId="1" applyFont="1" applyFill="1" applyBorder="1"/>
    <xf numFmtId="0" fontId="2" fillId="3" borderId="0" xfId="1" applyFont="1" applyFill="1" applyBorder="1"/>
    <xf numFmtId="0" fontId="2" fillId="3" borderId="18" xfId="1" applyFont="1" applyFill="1" applyBorder="1"/>
    <xf numFmtId="0" fontId="2" fillId="3" borderId="19" xfId="1" applyFont="1" applyFill="1" applyBorder="1"/>
    <xf numFmtId="0" fontId="2" fillId="3" borderId="20" xfId="1" applyFont="1" applyFill="1" applyBorder="1"/>
    <xf numFmtId="0" fontId="3" fillId="3" borderId="0" xfId="1" applyFont="1" applyFill="1" applyBorder="1"/>
    <xf numFmtId="0" fontId="4" fillId="3" borderId="0" xfId="1" applyFont="1" applyFill="1" applyBorder="1"/>
    <xf numFmtId="164" fontId="0" fillId="0" borderId="0" xfId="0" applyNumberFormat="1"/>
    <xf numFmtId="0" fontId="2" fillId="3" borderId="13" xfId="1" applyFont="1" applyFill="1" applyBorder="1" applyProtection="1"/>
    <xf numFmtId="0" fontId="2" fillId="3" borderId="14" xfId="1" applyFont="1" applyFill="1" applyBorder="1" applyProtection="1"/>
    <xf numFmtId="0" fontId="2" fillId="3" borderId="15" xfId="1" applyFont="1" applyFill="1" applyBorder="1" applyProtection="1"/>
    <xf numFmtId="0" fontId="2" fillId="3" borderId="16" xfId="1" applyFont="1" applyFill="1" applyBorder="1" applyProtection="1"/>
    <xf numFmtId="0" fontId="2" fillId="3" borderId="17" xfId="1" applyFont="1" applyFill="1" applyBorder="1" applyProtection="1"/>
    <xf numFmtId="0" fontId="2" fillId="3" borderId="0" xfId="1" applyFont="1" applyFill="1" applyBorder="1" applyProtection="1"/>
    <xf numFmtId="0" fontId="4" fillId="3" borderId="0" xfId="1" applyFont="1" applyFill="1" applyBorder="1" applyProtection="1"/>
    <xf numFmtId="0" fontId="3" fillId="3" borderId="0" xfId="1" applyFont="1" applyFill="1" applyBorder="1" applyProtection="1"/>
    <xf numFmtId="0" fontId="2" fillId="3" borderId="18" xfId="1" applyFont="1" applyFill="1" applyBorder="1" applyProtection="1"/>
    <xf numFmtId="0" fontId="2" fillId="3" borderId="19" xfId="1" applyFont="1" applyFill="1" applyBorder="1" applyProtection="1"/>
    <xf numFmtId="0" fontId="2" fillId="3" borderId="20" xfId="1" applyFont="1" applyFill="1" applyBorder="1" applyProtection="1"/>
    <xf numFmtId="0" fontId="5" fillId="4" borderId="11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164" fontId="11" fillId="0" borderId="11" xfId="1" applyNumberFormat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164" fontId="12" fillId="3" borderId="21" xfId="1" applyNumberFormat="1" applyFont="1" applyFill="1" applyBorder="1" applyAlignment="1">
      <alignment horizontal="center" vertical="center"/>
    </xf>
    <xf numFmtId="164" fontId="12" fillId="3" borderId="22" xfId="1" applyNumberFormat="1" applyFont="1" applyFill="1" applyBorder="1" applyAlignment="1">
      <alignment horizontal="center" vertical="center"/>
    </xf>
    <xf numFmtId="164" fontId="11" fillId="3" borderId="21" xfId="1" applyNumberFormat="1" applyFont="1" applyFill="1" applyBorder="1" applyAlignment="1">
      <alignment horizontal="center" vertical="center"/>
    </xf>
    <xf numFmtId="164" fontId="11" fillId="3" borderId="22" xfId="1" applyNumberFormat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9" fillId="4" borderId="2" xfId="1" applyFont="1" applyFill="1" applyBorder="1" applyAlignment="1">
      <alignment horizontal="center"/>
    </xf>
    <xf numFmtId="0" fontId="8" fillId="4" borderId="2" xfId="1" applyFont="1" applyFill="1" applyBorder="1" applyAlignment="1">
      <alignment horizontal="center"/>
    </xf>
    <xf numFmtId="0" fontId="11" fillId="3" borderId="2" xfId="1" applyNumberFormat="1" applyFont="1" applyFill="1" applyBorder="1" applyAlignment="1">
      <alignment horizontal="center"/>
    </xf>
    <xf numFmtId="9" fontId="11" fillId="3" borderId="2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3" fillId="3" borderId="1" xfId="1" applyFont="1" applyFill="1" applyBorder="1" applyAlignment="1" applyProtection="1">
      <alignment horizontal="center"/>
      <protection locked="0"/>
    </xf>
    <xf numFmtId="10" fontId="3" fillId="4" borderId="1" xfId="2" quotePrefix="1" applyNumberFormat="1" applyFont="1" applyFill="1" applyBorder="1" applyAlignment="1" applyProtection="1">
      <alignment horizontal="center"/>
    </xf>
    <xf numFmtId="10" fontId="3" fillId="4" borderId="1" xfId="2" applyNumberFormat="1" applyFont="1" applyFill="1" applyBorder="1" applyAlignment="1" applyProtection="1">
      <alignment horizontal="center"/>
    </xf>
    <xf numFmtId="10" fontId="3" fillId="4" borderId="1" xfId="1" applyNumberFormat="1" applyFont="1" applyFill="1" applyBorder="1" applyAlignment="1" applyProtection="1">
      <alignment horizontal="center"/>
    </xf>
    <xf numFmtId="0" fontId="14" fillId="4" borderId="26" xfId="1" applyFont="1" applyFill="1" applyBorder="1" applyAlignment="1">
      <alignment horizontal="center" vertical="center"/>
    </xf>
    <xf numFmtId="0" fontId="14" fillId="4" borderId="27" xfId="1" applyFont="1" applyFill="1" applyBorder="1" applyAlignment="1">
      <alignment horizontal="center" vertical="center"/>
    </xf>
    <xf numFmtId="0" fontId="10" fillId="4" borderId="27" xfId="1" applyFont="1" applyFill="1" applyBorder="1" applyAlignment="1">
      <alignment horizontal="center"/>
    </xf>
    <xf numFmtId="0" fontId="10" fillId="4" borderId="28" xfId="1" applyFont="1" applyFill="1" applyBorder="1" applyAlignment="1">
      <alignment horizontal="center"/>
    </xf>
    <xf numFmtId="0" fontId="9" fillId="4" borderId="23" xfId="1" applyFont="1" applyFill="1" applyBorder="1" applyAlignment="1">
      <alignment horizontal="center" vertical="center"/>
    </xf>
    <xf numFmtId="0" fontId="9" fillId="4" borderId="24" xfId="1" applyFont="1" applyFill="1" applyBorder="1" applyAlignment="1">
      <alignment horizontal="center" vertical="center"/>
    </xf>
    <xf numFmtId="0" fontId="10" fillId="4" borderId="24" xfId="1" applyFont="1" applyFill="1" applyBorder="1" applyAlignment="1" applyProtection="1">
      <alignment horizontal="center" vertical="center"/>
    </xf>
    <xf numFmtId="0" fontId="10" fillId="4" borderId="25" xfId="1" applyFont="1" applyFill="1" applyBorder="1" applyAlignment="1" applyProtection="1">
      <alignment horizontal="center" vertical="center"/>
    </xf>
    <xf numFmtId="10" fontId="11" fillId="3" borderId="2" xfId="1" applyNumberFormat="1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right" vertical="top"/>
    </xf>
    <xf numFmtId="0" fontId="6" fillId="3" borderId="4" xfId="1" applyFont="1" applyFill="1" applyBorder="1" applyAlignment="1">
      <alignment horizontal="right" vertical="top"/>
    </xf>
    <xf numFmtId="0" fontId="6" fillId="3" borderId="5" xfId="1" applyFont="1" applyFill="1" applyBorder="1" applyAlignment="1">
      <alignment horizontal="right" vertical="top"/>
    </xf>
    <xf numFmtId="0" fontId="6" fillId="3" borderId="6" xfId="1" applyFont="1" applyFill="1" applyBorder="1" applyAlignment="1">
      <alignment horizontal="right" vertical="top"/>
    </xf>
    <xf numFmtId="0" fontId="6" fillId="3" borderId="0" xfId="1" applyFont="1" applyFill="1" applyBorder="1" applyAlignment="1">
      <alignment horizontal="right" vertical="top"/>
    </xf>
    <xf numFmtId="0" fontId="6" fillId="3" borderId="7" xfId="1" applyFont="1" applyFill="1" applyBorder="1" applyAlignment="1">
      <alignment horizontal="right" vertical="top"/>
    </xf>
    <xf numFmtId="0" fontId="6" fillId="3" borderId="8" xfId="1" applyFont="1" applyFill="1" applyBorder="1" applyAlignment="1">
      <alignment horizontal="right" vertical="top"/>
    </xf>
    <xf numFmtId="0" fontId="6" fillId="3" borderId="9" xfId="1" applyFont="1" applyFill="1" applyBorder="1" applyAlignment="1">
      <alignment horizontal="right" vertical="top"/>
    </xf>
    <xf numFmtId="0" fontId="6" fillId="3" borderId="10" xfId="1" applyFont="1" applyFill="1" applyBorder="1" applyAlignment="1">
      <alignment horizontal="right" vertical="top"/>
    </xf>
    <xf numFmtId="0" fontId="3" fillId="3" borderId="1" xfId="2" applyNumberFormat="1" applyFont="1" applyFill="1" applyBorder="1" applyAlignment="1" applyProtection="1">
      <alignment horizontal="center"/>
      <protection locked="0"/>
    </xf>
    <xf numFmtId="0" fontId="6" fillId="3" borderId="3" xfId="1" applyFont="1" applyFill="1" applyBorder="1" applyAlignment="1" applyProtection="1">
      <alignment horizontal="right" vertical="top"/>
    </xf>
    <xf numFmtId="0" fontId="6" fillId="3" borderId="4" xfId="1" applyFont="1" applyFill="1" applyBorder="1" applyAlignment="1" applyProtection="1">
      <alignment horizontal="right" vertical="top"/>
    </xf>
    <xf numFmtId="0" fontId="6" fillId="3" borderId="5" xfId="1" applyFont="1" applyFill="1" applyBorder="1" applyAlignment="1" applyProtection="1">
      <alignment horizontal="right" vertical="top"/>
    </xf>
    <xf numFmtId="0" fontId="6" fillId="3" borderId="6" xfId="1" applyFont="1" applyFill="1" applyBorder="1" applyAlignment="1" applyProtection="1">
      <alignment horizontal="right" vertical="top"/>
    </xf>
    <xf numFmtId="0" fontId="6" fillId="3" borderId="0" xfId="1" applyFont="1" applyFill="1" applyBorder="1" applyAlignment="1" applyProtection="1">
      <alignment horizontal="right" vertical="top"/>
    </xf>
    <xf numFmtId="0" fontId="6" fillId="3" borderId="7" xfId="1" applyFont="1" applyFill="1" applyBorder="1" applyAlignment="1" applyProtection="1">
      <alignment horizontal="right" vertical="top"/>
    </xf>
    <xf numFmtId="0" fontId="6" fillId="3" borderId="8" xfId="1" applyFont="1" applyFill="1" applyBorder="1" applyAlignment="1" applyProtection="1">
      <alignment horizontal="right" vertical="top"/>
    </xf>
    <xf numFmtId="0" fontId="6" fillId="3" borderId="9" xfId="1" applyFont="1" applyFill="1" applyBorder="1" applyAlignment="1" applyProtection="1">
      <alignment horizontal="right" vertical="top"/>
    </xf>
    <xf numFmtId="0" fontId="6" fillId="3" borderId="10" xfId="1" applyFont="1" applyFill="1" applyBorder="1" applyAlignment="1" applyProtection="1">
      <alignment horizontal="right" vertical="top"/>
    </xf>
    <xf numFmtId="0" fontId="4" fillId="4" borderId="1" xfId="1" applyFont="1" applyFill="1" applyBorder="1" applyAlignment="1" applyProtection="1">
      <alignment horizontal="center"/>
    </xf>
    <xf numFmtId="0" fontId="9" fillId="4" borderId="23" xfId="1" applyFont="1" applyFill="1" applyBorder="1" applyAlignment="1" applyProtection="1">
      <alignment horizontal="center" vertical="center"/>
    </xf>
    <xf numFmtId="0" fontId="9" fillId="4" borderId="24" xfId="1" applyFont="1" applyFill="1" applyBorder="1" applyAlignment="1" applyProtection="1">
      <alignment horizontal="center" vertical="center"/>
    </xf>
    <xf numFmtId="0" fontId="14" fillId="4" borderId="26" xfId="1" applyFont="1" applyFill="1" applyBorder="1" applyAlignment="1" applyProtection="1">
      <alignment horizontal="center" vertical="center"/>
    </xf>
    <xf numFmtId="0" fontId="14" fillId="4" borderId="27" xfId="1" applyFont="1" applyFill="1" applyBorder="1" applyAlignment="1" applyProtection="1">
      <alignment horizontal="center" vertical="center"/>
    </xf>
    <xf numFmtId="0" fontId="10" fillId="4" borderId="27" xfId="1" applyFont="1" applyFill="1" applyBorder="1" applyAlignment="1" applyProtection="1">
      <alignment horizontal="center"/>
    </xf>
    <xf numFmtId="0" fontId="10" fillId="4" borderId="28" xfId="1" applyFont="1" applyFill="1" applyBorder="1" applyAlignment="1" applyProtection="1">
      <alignment horizontal="center"/>
    </xf>
    <xf numFmtId="0" fontId="4" fillId="4" borderId="2" xfId="1" applyFont="1" applyFill="1" applyBorder="1" applyAlignment="1" applyProtection="1">
      <alignment horizontal="center"/>
    </xf>
    <xf numFmtId="10" fontId="11" fillId="3" borderId="2" xfId="1" applyNumberFormat="1" applyFont="1" applyFill="1" applyBorder="1" applyAlignment="1" applyProtection="1">
      <alignment horizontal="center"/>
    </xf>
    <xf numFmtId="9" fontId="11" fillId="3" borderId="2" xfId="1" applyNumberFormat="1" applyFont="1" applyFill="1" applyBorder="1" applyAlignment="1" applyProtection="1">
      <alignment horizontal="center"/>
    </xf>
    <xf numFmtId="0" fontId="11" fillId="3" borderId="2" xfId="1" applyFont="1" applyFill="1" applyBorder="1" applyAlignment="1" applyProtection="1">
      <alignment horizontal="center"/>
    </xf>
    <xf numFmtId="0" fontId="9" fillId="4" borderId="2" xfId="1" applyFont="1" applyFill="1" applyBorder="1" applyAlignment="1" applyProtection="1">
      <alignment horizontal="center"/>
    </xf>
    <xf numFmtId="0" fontId="8" fillId="4" borderId="2" xfId="1" applyFont="1" applyFill="1" applyBorder="1" applyAlignment="1" applyProtection="1">
      <alignment horizontal="center"/>
    </xf>
    <xf numFmtId="0" fontId="11" fillId="3" borderId="2" xfId="1" applyNumberFormat="1" applyFont="1" applyFill="1" applyBorder="1" applyAlignment="1" applyProtection="1">
      <alignment horizontal="center"/>
    </xf>
    <xf numFmtId="0" fontId="5" fillId="4" borderId="11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164" fontId="11" fillId="0" borderId="11" xfId="1" applyNumberFormat="1" applyFont="1" applyFill="1" applyBorder="1" applyAlignment="1" applyProtection="1">
      <alignment horizontal="center" vertical="center"/>
    </xf>
    <xf numFmtId="0" fontId="11" fillId="0" borderId="11" xfId="1" applyFont="1" applyFill="1" applyBorder="1" applyAlignment="1" applyProtection="1">
      <alignment horizontal="center" vertical="center"/>
    </xf>
    <xf numFmtId="0" fontId="11" fillId="0" borderId="12" xfId="1" applyFont="1" applyFill="1" applyBorder="1" applyAlignment="1" applyProtection="1">
      <alignment horizontal="center" vertical="center"/>
    </xf>
    <xf numFmtId="0" fontId="4" fillId="4" borderId="21" xfId="1" applyFont="1" applyFill="1" applyBorder="1" applyAlignment="1" applyProtection="1">
      <alignment horizontal="center" vertical="center"/>
    </xf>
    <xf numFmtId="0" fontId="4" fillId="4" borderId="22" xfId="1" applyFont="1" applyFill="1" applyBorder="1" applyAlignment="1" applyProtection="1">
      <alignment horizontal="center" vertical="center"/>
    </xf>
    <xf numFmtId="0" fontId="11" fillId="3" borderId="21" xfId="1" applyFont="1" applyFill="1" applyBorder="1" applyAlignment="1" applyProtection="1">
      <alignment horizontal="center" vertical="center"/>
    </xf>
    <xf numFmtId="0" fontId="11" fillId="3" borderId="22" xfId="1" applyFont="1" applyFill="1" applyBorder="1" applyAlignment="1" applyProtection="1">
      <alignment horizontal="center" vertical="center"/>
    </xf>
    <xf numFmtId="164" fontId="12" fillId="3" borderId="21" xfId="1" applyNumberFormat="1" applyFont="1" applyFill="1" applyBorder="1" applyAlignment="1" applyProtection="1">
      <alignment horizontal="center" vertical="center"/>
    </xf>
    <xf numFmtId="164" fontId="12" fillId="3" borderId="22" xfId="1" applyNumberFormat="1" applyFont="1" applyFill="1" applyBorder="1" applyAlignment="1" applyProtection="1">
      <alignment horizontal="center" vertical="center"/>
    </xf>
    <xf numFmtId="164" fontId="11" fillId="3" borderId="21" xfId="1" applyNumberFormat="1" applyFont="1" applyFill="1" applyBorder="1" applyAlignment="1" applyProtection="1">
      <alignment horizontal="center" vertical="center"/>
    </xf>
    <xf numFmtId="164" fontId="11" fillId="3" borderId="22" xfId="1" applyNumberFormat="1" applyFont="1" applyFill="1" applyBorder="1" applyAlignment="1" applyProtection="1">
      <alignment horizontal="center" vertical="center"/>
    </xf>
    <xf numFmtId="10" fontId="3" fillId="4" borderId="1" xfId="2" quotePrefix="1" applyNumberFormat="1" applyFont="1" applyFill="1" applyBorder="1" applyAlignment="1" applyProtection="1">
      <alignment horizontal="center"/>
      <protection locked="0"/>
    </xf>
    <xf numFmtId="10" fontId="3" fillId="4" borderId="1" xfId="2" applyNumberFormat="1" applyFont="1" applyFill="1" applyBorder="1" applyAlignment="1" applyProtection="1">
      <alignment horizontal="center"/>
      <protection locked="0"/>
    </xf>
    <xf numFmtId="10" fontId="3" fillId="4" borderId="1" xfId="1" applyNumberFormat="1" applyFont="1" applyFill="1" applyBorder="1" applyAlignment="1" applyProtection="1">
      <alignment horizontal="center"/>
      <protection locked="0"/>
    </xf>
    <xf numFmtId="0" fontId="10" fillId="4" borderId="24" xfId="1" applyFont="1" applyFill="1" applyBorder="1" applyAlignment="1" applyProtection="1">
      <alignment horizontal="center" vertical="center"/>
      <protection locked="0"/>
    </xf>
    <xf numFmtId="0" fontId="10" fillId="4" borderId="25" xfId="1" applyFont="1" applyFill="1" applyBorder="1" applyAlignment="1" applyProtection="1">
      <alignment horizontal="center" vertical="center"/>
      <protection locked="0"/>
    </xf>
    <xf numFmtId="0" fontId="10" fillId="4" borderId="27" xfId="1" applyFont="1" applyFill="1" applyBorder="1" applyAlignment="1" applyProtection="1">
      <alignment horizontal="center"/>
      <protection locked="0"/>
    </xf>
    <xf numFmtId="0" fontId="10" fillId="4" borderId="28" xfId="1" applyFont="1" applyFill="1" applyBorder="1" applyAlignment="1" applyProtection="1">
      <alignment horizontal="center"/>
      <protection locked="0"/>
    </xf>
  </cellXfs>
  <cellStyles count="3"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71717"/>
      <color rgb="FF0D0D0D"/>
      <color rgb="FF2C2C2C"/>
      <color rgb="FF38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452439</xdr:colOff>
      <xdr:row>1</xdr:row>
      <xdr:rowOff>47626</xdr:rowOff>
    </xdr:from>
    <xdr:to>
      <xdr:col>7</xdr:col>
      <xdr:colOff>273844</xdr:colOff>
      <xdr:row>5</xdr:row>
      <xdr:rowOff>125245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7C2E7-DDD0-48AF-8285-A811D315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716981" y="247651"/>
          <a:ext cx="1650205" cy="858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1</xdr:row>
      <xdr:rowOff>47625</xdr:rowOff>
    </xdr:from>
    <xdr:to>
      <xdr:col>7</xdr:col>
      <xdr:colOff>278605</xdr:colOff>
      <xdr:row>5</xdr:row>
      <xdr:rowOff>125244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62C64-DA68-4A6B-A884-32EA92F52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712220" y="247650"/>
          <a:ext cx="1650205" cy="887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452439</xdr:colOff>
      <xdr:row>1</xdr:row>
      <xdr:rowOff>67234</xdr:rowOff>
    </xdr:from>
    <xdr:to>
      <xdr:col>7</xdr:col>
      <xdr:colOff>273844</xdr:colOff>
      <xdr:row>5</xdr:row>
      <xdr:rowOff>123264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BB0F29-2D41-4F68-BB4E-B59DCC9D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0163685" y="268940"/>
          <a:ext cx="1636758" cy="874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452439</xdr:colOff>
      <xdr:row>1</xdr:row>
      <xdr:rowOff>47627</xdr:rowOff>
    </xdr:from>
    <xdr:to>
      <xdr:col>7</xdr:col>
      <xdr:colOff>273844</xdr:colOff>
      <xdr:row>5</xdr:row>
      <xdr:rowOff>123826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26F948-7267-4766-8F8F-E7526CF62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3488256" y="247652"/>
          <a:ext cx="1650205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452439</xdr:colOff>
      <xdr:row>1</xdr:row>
      <xdr:rowOff>114300</xdr:rowOff>
    </xdr:from>
    <xdr:to>
      <xdr:col>7</xdr:col>
      <xdr:colOff>323850</xdr:colOff>
      <xdr:row>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F27F92-3D39-4E46-95DF-1D36DE2A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3095350" y="314325"/>
          <a:ext cx="1700211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378923</xdr:colOff>
      <xdr:row>1</xdr:row>
      <xdr:rowOff>47626</xdr:rowOff>
    </xdr:from>
    <xdr:to>
      <xdr:col>7</xdr:col>
      <xdr:colOff>231511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CAC8B-809E-4AD3-B49D-42E352499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062156" y="248709"/>
          <a:ext cx="1694088" cy="957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EBA1-C9CF-42B1-84E8-46C1F515E5B7}">
  <dimension ref="B1:N24"/>
  <sheetViews>
    <sheetView rightToLeft="1" topLeftCell="A2" zoomScaleNormal="100" workbookViewId="0">
      <selection activeCell="G19" sqref="G19:H19"/>
    </sheetView>
  </sheetViews>
  <sheetFormatPr defaultRowHeight="15" x14ac:dyDescent="0.25"/>
  <cols>
    <col min="1" max="1" width="6.28515625" customWidth="1"/>
    <col min="2" max="2" width="4" customWidth="1"/>
    <col min="4" max="4" width="10" customWidth="1"/>
    <col min="11" max="11" width="4" customWidth="1"/>
    <col min="13" max="13" width="23.5703125" customWidth="1"/>
    <col min="14" max="14" width="12.7109375" customWidth="1"/>
    <col min="15" max="15" width="13.7109375" customWidth="1"/>
    <col min="16" max="16" width="15.28515625" customWidth="1"/>
  </cols>
  <sheetData>
    <row r="1" spans="2:14" ht="15.75" thickBot="1" x14ac:dyDescent="0.3"/>
    <row r="2" spans="2:14" ht="16.5" thickTop="1" thickBot="1" x14ac:dyDescent="0.3">
      <c r="B2" s="1"/>
      <c r="C2" s="2"/>
      <c r="D2" s="2"/>
      <c r="E2" s="2"/>
      <c r="F2" s="2"/>
      <c r="G2" s="2"/>
      <c r="H2" s="2"/>
      <c r="I2" s="2"/>
      <c r="J2" s="2"/>
      <c r="K2" s="3"/>
    </row>
    <row r="3" spans="2:14" x14ac:dyDescent="0.25">
      <c r="B3" s="4"/>
      <c r="C3" s="63" t="s">
        <v>12</v>
      </c>
      <c r="D3" s="64"/>
      <c r="E3" s="64"/>
      <c r="F3" s="64"/>
      <c r="G3" s="64"/>
      <c r="H3" s="64"/>
      <c r="I3" s="64"/>
      <c r="J3" s="65"/>
      <c r="K3" s="5"/>
    </row>
    <row r="4" spans="2:14" ht="15.75" thickBot="1" x14ac:dyDescent="0.3">
      <c r="B4" s="4"/>
      <c r="C4" s="66"/>
      <c r="D4" s="67"/>
      <c r="E4" s="67"/>
      <c r="F4" s="67"/>
      <c r="G4" s="67"/>
      <c r="H4" s="67"/>
      <c r="I4" s="67"/>
      <c r="J4" s="68"/>
      <c r="K4" s="5"/>
      <c r="M4" s="12"/>
    </row>
    <row r="5" spans="2:14" ht="16.5" thickTop="1" thickBot="1" x14ac:dyDescent="0.3">
      <c r="B5" s="4"/>
      <c r="C5" s="69"/>
      <c r="D5" s="70"/>
      <c r="E5" s="70"/>
      <c r="F5" s="70"/>
      <c r="G5" s="70"/>
      <c r="H5" s="70"/>
      <c r="I5" s="70"/>
      <c r="J5" s="71"/>
      <c r="K5" s="5"/>
      <c r="M5" s="57" t="s">
        <v>22</v>
      </c>
      <c r="N5" s="58"/>
    </row>
    <row r="6" spans="2:14" ht="15.75" thickBot="1" x14ac:dyDescent="0.3">
      <c r="B6" s="4"/>
      <c r="C6" s="6"/>
      <c r="D6" s="6"/>
      <c r="E6" s="6"/>
      <c r="F6" s="6"/>
      <c r="G6" s="6"/>
      <c r="H6" s="6"/>
      <c r="I6" s="6"/>
      <c r="J6" s="6"/>
      <c r="K6" s="5"/>
      <c r="M6" s="59">
        <f>E16/0.85</f>
        <v>11411.764705882353</v>
      </c>
      <c r="N6" s="60"/>
    </row>
    <row r="7" spans="2:14" ht="18.75" thickTop="1" thickBot="1" x14ac:dyDescent="0.35">
      <c r="B7" s="4"/>
      <c r="C7" s="43" t="s">
        <v>13</v>
      </c>
      <c r="D7" s="43"/>
      <c r="E7" s="44">
        <v>9700</v>
      </c>
      <c r="F7" s="44"/>
      <c r="G7" s="43" t="s">
        <v>1</v>
      </c>
      <c r="H7" s="43"/>
      <c r="I7" s="72">
        <v>0</v>
      </c>
      <c r="J7" s="72"/>
      <c r="K7" s="5"/>
      <c r="M7" s="61"/>
      <c r="N7" s="62"/>
    </row>
    <row r="8" spans="2:14" ht="18.75" thickTop="1" thickBot="1" x14ac:dyDescent="0.35">
      <c r="B8" s="4"/>
      <c r="C8" s="43" t="s">
        <v>23</v>
      </c>
      <c r="D8" s="43"/>
      <c r="E8" s="44">
        <v>650</v>
      </c>
      <c r="F8" s="44"/>
      <c r="G8" s="43" t="s">
        <v>11</v>
      </c>
      <c r="H8" s="43"/>
      <c r="I8" s="44">
        <v>84</v>
      </c>
      <c r="J8" s="44"/>
      <c r="K8" s="5"/>
    </row>
    <row r="9" spans="2:14" ht="18.75" thickTop="1" thickBot="1" x14ac:dyDescent="0.35">
      <c r="B9" s="4"/>
      <c r="C9" s="43" t="s">
        <v>0</v>
      </c>
      <c r="D9" s="43"/>
      <c r="E9" s="45">
        <v>5.0000000000000001E-3</v>
      </c>
      <c r="F9" s="46"/>
      <c r="G9" s="43" t="s">
        <v>5</v>
      </c>
      <c r="H9" s="43"/>
      <c r="I9" s="47">
        <v>8.5000000000000006E-2</v>
      </c>
      <c r="J9" s="47"/>
      <c r="K9" s="5"/>
    </row>
    <row r="10" spans="2:14" ht="11.25" customHeight="1" thickTop="1" thickBot="1" x14ac:dyDescent="0.35">
      <c r="B10" s="4"/>
      <c r="C10" s="11"/>
      <c r="D10" s="11"/>
      <c r="E10" s="10"/>
      <c r="F10" s="10"/>
      <c r="G10" s="11"/>
      <c r="H10" s="11"/>
      <c r="I10" s="10"/>
      <c r="J10" s="10"/>
      <c r="K10" s="5"/>
    </row>
    <row r="11" spans="2:14" ht="14.25" customHeight="1" thickTop="1" thickBot="1" x14ac:dyDescent="0.3">
      <c r="B11" s="4"/>
      <c r="C11" s="52" t="s">
        <v>20</v>
      </c>
      <c r="D11" s="53"/>
      <c r="E11" s="54">
        <v>0</v>
      </c>
      <c r="F11" s="55"/>
      <c r="G11" s="48" t="s">
        <v>21</v>
      </c>
      <c r="H11" s="49"/>
      <c r="I11" s="50">
        <v>650</v>
      </c>
      <c r="J11" s="51"/>
      <c r="K11" s="5"/>
    </row>
    <row r="12" spans="2:14" ht="10.5" customHeight="1" thickTop="1" thickBot="1" x14ac:dyDescent="0.35">
      <c r="B12" s="4"/>
      <c r="C12" s="11"/>
      <c r="D12" s="11"/>
      <c r="E12" s="10"/>
      <c r="F12" s="10"/>
      <c r="G12" s="11"/>
      <c r="H12" s="11"/>
      <c r="I12" s="10"/>
      <c r="J12" s="10"/>
      <c r="K12" s="5"/>
    </row>
    <row r="13" spans="2:14" ht="18.75" thickTop="1" thickBot="1" x14ac:dyDescent="0.35">
      <c r="B13" s="4"/>
      <c r="C13" s="37" t="s">
        <v>5</v>
      </c>
      <c r="D13" s="37"/>
      <c r="E13" s="56">
        <f>I9</f>
        <v>8.5000000000000006E-2</v>
      </c>
      <c r="F13" s="56"/>
      <c r="G13" s="37" t="s">
        <v>6</v>
      </c>
      <c r="H13" s="37"/>
      <c r="I13" s="42">
        <f>E13*I14</f>
        <v>0.59500000000000008</v>
      </c>
      <c r="J13" s="42"/>
      <c r="K13" s="5"/>
    </row>
    <row r="14" spans="2:14" ht="18.75" thickTop="1" thickBot="1" x14ac:dyDescent="0.35">
      <c r="B14" s="4"/>
      <c r="C14" s="37" t="s">
        <v>14</v>
      </c>
      <c r="D14" s="37"/>
      <c r="E14" s="38">
        <f>E7</f>
        <v>9700</v>
      </c>
      <c r="F14" s="38"/>
      <c r="G14" s="37" t="s">
        <v>3</v>
      </c>
      <c r="H14" s="37"/>
      <c r="I14" s="38">
        <f>I15/12</f>
        <v>7</v>
      </c>
      <c r="J14" s="38"/>
      <c r="K14" s="5"/>
    </row>
    <row r="15" spans="2:14" ht="18.75" thickTop="1" thickBot="1" x14ac:dyDescent="0.35">
      <c r="B15" s="4"/>
      <c r="C15" s="37" t="s">
        <v>2</v>
      </c>
      <c r="D15" s="37"/>
      <c r="E15" s="38">
        <f>E8</f>
        <v>650</v>
      </c>
      <c r="F15" s="38"/>
      <c r="G15" s="37" t="s">
        <v>4</v>
      </c>
      <c r="H15" s="37"/>
      <c r="I15" s="38">
        <f>I8</f>
        <v>84</v>
      </c>
      <c r="J15" s="38"/>
      <c r="K15" s="5"/>
    </row>
    <row r="16" spans="2:14" ht="18.75" thickTop="1" thickBot="1" x14ac:dyDescent="0.35">
      <c r="B16" s="4"/>
      <c r="C16" s="37" t="s">
        <v>15</v>
      </c>
      <c r="D16" s="37"/>
      <c r="E16" s="38">
        <f>E7-E8+E11+I11</f>
        <v>9700</v>
      </c>
      <c r="F16" s="38"/>
      <c r="G16" s="39" t="s">
        <v>18</v>
      </c>
      <c r="H16" s="39"/>
      <c r="I16" s="38">
        <f>E16+E18</f>
        <v>15471.5</v>
      </c>
      <c r="J16" s="38"/>
      <c r="K16" s="5"/>
    </row>
    <row r="17" spans="2:11" ht="18.75" thickTop="1" thickBot="1" x14ac:dyDescent="0.35">
      <c r="B17" s="4"/>
      <c r="C17" s="40" t="s">
        <v>7</v>
      </c>
      <c r="D17" s="40"/>
      <c r="E17" s="41">
        <f>I8-I7</f>
        <v>84</v>
      </c>
      <c r="F17" s="41"/>
      <c r="G17" s="37" t="s">
        <v>8</v>
      </c>
      <c r="H17" s="37"/>
      <c r="I17" s="38">
        <f>I7</f>
        <v>0</v>
      </c>
      <c r="J17" s="38"/>
      <c r="K17" s="5"/>
    </row>
    <row r="18" spans="2:11" ht="16.5" customHeight="1" thickTop="1" thickBot="1" x14ac:dyDescent="0.3">
      <c r="B18" s="4"/>
      <c r="C18" s="29" t="s">
        <v>9</v>
      </c>
      <c r="D18" s="30"/>
      <c r="E18" s="31">
        <f>I13*E16</f>
        <v>5771.5000000000009</v>
      </c>
      <c r="F18" s="32"/>
      <c r="G18" s="29" t="s">
        <v>10</v>
      </c>
      <c r="H18" s="30"/>
      <c r="I18" s="33">
        <f>I19/E17</f>
        <v>190.63098214285714</v>
      </c>
      <c r="J18" s="34"/>
      <c r="K18" s="5"/>
    </row>
    <row r="19" spans="2:11" ht="16.5" customHeight="1" thickTop="1" thickBot="1" x14ac:dyDescent="0.3">
      <c r="B19" s="4"/>
      <c r="C19" s="29" t="s">
        <v>17</v>
      </c>
      <c r="D19" s="30"/>
      <c r="E19" s="31">
        <f>E9*I14*I16</f>
        <v>541.50250000000005</v>
      </c>
      <c r="F19" s="32"/>
      <c r="G19" s="29" t="s">
        <v>19</v>
      </c>
      <c r="H19" s="30"/>
      <c r="I19" s="35">
        <f>I16+E19</f>
        <v>16013.002500000001</v>
      </c>
      <c r="J19" s="36"/>
      <c r="K19" s="5"/>
    </row>
    <row r="20" spans="2:11" ht="15.75" hidden="1" thickTop="1" x14ac:dyDescent="0.25">
      <c r="B20" s="4"/>
      <c r="C20" s="24" t="s">
        <v>16</v>
      </c>
      <c r="D20" s="24"/>
      <c r="E20" s="24"/>
      <c r="F20" s="24"/>
      <c r="G20" s="26">
        <f>I19+E8</f>
        <v>16663.002500000002</v>
      </c>
      <c r="H20" s="27"/>
      <c r="I20" s="27"/>
      <c r="J20" s="27"/>
      <c r="K20" s="5"/>
    </row>
    <row r="21" spans="2:11" ht="15.75" hidden="1" thickBot="1" x14ac:dyDescent="0.3">
      <c r="B21" s="4"/>
      <c r="C21" s="25"/>
      <c r="D21" s="25"/>
      <c r="E21" s="25"/>
      <c r="F21" s="25"/>
      <c r="G21" s="28"/>
      <c r="H21" s="28"/>
      <c r="I21" s="28"/>
      <c r="J21" s="28"/>
      <c r="K21" s="5"/>
    </row>
    <row r="22" spans="2:11" ht="15.75" thickTop="1" x14ac:dyDescent="0.25">
      <c r="B22" s="4"/>
      <c r="C22" s="6"/>
      <c r="D22" s="6"/>
      <c r="E22" s="6"/>
      <c r="F22" s="6"/>
      <c r="G22" s="6"/>
      <c r="H22" s="6"/>
      <c r="I22" s="6"/>
      <c r="J22" s="6"/>
      <c r="K22" s="5"/>
    </row>
    <row r="23" spans="2:11" ht="15.75" thickBot="1" x14ac:dyDescent="0.3">
      <c r="B23" s="7"/>
      <c r="C23" s="8"/>
      <c r="D23" s="8"/>
      <c r="E23" s="8"/>
      <c r="F23" s="8"/>
      <c r="G23" s="8"/>
      <c r="H23" s="8"/>
      <c r="I23" s="8"/>
      <c r="J23" s="8"/>
      <c r="K23" s="9"/>
    </row>
    <row r="24" spans="2:11" ht="15.75" thickTop="1" x14ac:dyDescent="0.25"/>
  </sheetData>
  <sheetProtection algorithmName="SHA-512" hashValue="+UaVGxAGAWgf7BrWodc1h1bW+cpHVoCEM8h+qBK6KbrawFgEukNQps39cOvw+Q39Uktzq6bbD65jQUFBdD4MrA==" saltValue="YmPY/dNhJjhcXPIIt30kaQ==" spinCount="100000" sheet="1" formatCells="0" formatColumns="0" formatRows="0" insertColumns="0" insertRows="0" insertHyperlinks="0" deleteColumns="0" deleteRows="0" sort="0" autoFilter="0" pivotTables="0"/>
  <mergeCells count="49">
    <mergeCell ref="M5:N5"/>
    <mergeCell ref="M6:N7"/>
    <mergeCell ref="C3:J5"/>
    <mergeCell ref="C7:D7"/>
    <mergeCell ref="E7:F7"/>
    <mergeCell ref="G7:H7"/>
    <mergeCell ref="I7:J7"/>
    <mergeCell ref="I13:J13"/>
    <mergeCell ref="C8:D8"/>
    <mergeCell ref="E8:F8"/>
    <mergeCell ref="G8:H8"/>
    <mergeCell ref="I8:J8"/>
    <mergeCell ref="C9:D9"/>
    <mergeCell ref="E9:F9"/>
    <mergeCell ref="G9:H9"/>
    <mergeCell ref="I9:J9"/>
    <mergeCell ref="G11:H11"/>
    <mergeCell ref="I11:J11"/>
    <mergeCell ref="C11:D11"/>
    <mergeCell ref="E11:F11"/>
    <mergeCell ref="C13:D13"/>
    <mergeCell ref="E13:F13"/>
    <mergeCell ref="G13:H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20:F21"/>
    <mergeCell ref="G20:J21"/>
    <mergeCell ref="C18:D18"/>
    <mergeCell ref="E18:F18"/>
    <mergeCell ref="G18:H18"/>
    <mergeCell ref="I18:J18"/>
    <mergeCell ref="C19:D19"/>
    <mergeCell ref="E19:F19"/>
    <mergeCell ref="G19:H19"/>
    <mergeCell ref="I19:J1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F766-312C-4B2B-A10B-AE756994C068}">
  <dimension ref="B1:N24"/>
  <sheetViews>
    <sheetView rightToLeft="1" zoomScaleNormal="100" workbookViewId="0">
      <selection activeCell="E7" sqref="E7:F7"/>
    </sheetView>
  </sheetViews>
  <sheetFormatPr defaultRowHeight="15" x14ac:dyDescent="0.25"/>
  <cols>
    <col min="1" max="1" width="6.28515625" customWidth="1"/>
    <col min="2" max="2" width="4" customWidth="1"/>
    <col min="4" max="4" width="10" customWidth="1"/>
    <col min="11" max="11" width="4" customWidth="1"/>
    <col min="13" max="13" width="23.5703125" customWidth="1"/>
    <col min="14" max="14" width="12.7109375" customWidth="1"/>
    <col min="15" max="15" width="13.7109375" customWidth="1"/>
    <col min="16" max="16" width="15.28515625" customWidth="1"/>
  </cols>
  <sheetData>
    <row r="1" spans="2:14" ht="15.75" thickBot="1" x14ac:dyDescent="0.3"/>
    <row r="2" spans="2:14" ht="16.5" thickTop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4" x14ac:dyDescent="0.25">
      <c r="B3" s="16"/>
      <c r="C3" s="73" t="s">
        <v>12</v>
      </c>
      <c r="D3" s="74"/>
      <c r="E3" s="74"/>
      <c r="F3" s="74"/>
      <c r="G3" s="74"/>
      <c r="H3" s="74"/>
      <c r="I3" s="74"/>
      <c r="J3" s="75"/>
      <c r="K3" s="17"/>
    </row>
    <row r="4" spans="2:14" ht="15.75" thickBot="1" x14ac:dyDescent="0.3">
      <c r="B4" s="16"/>
      <c r="C4" s="76"/>
      <c r="D4" s="77"/>
      <c r="E4" s="77"/>
      <c r="F4" s="77"/>
      <c r="G4" s="77"/>
      <c r="H4" s="77"/>
      <c r="I4" s="77"/>
      <c r="J4" s="78"/>
      <c r="K4" s="17"/>
      <c r="M4" s="12"/>
    </row>
    <row r="5" spans="2:14" ht="16.5" thickTop="1" thickBot="1" x14ac:dyDescent="0.3">
      <c r="B5" s="16"/>
      <c r="C5" s="79"/>
      <c r="D5" s="80"/>
      <c r="E5" s="80"/>
      <c r="F5" s="80"/>
      <c r="G5" s="80"/>
      <c r="H5" s="80"/>
      <c r="I5" s="80"/>
      <c r="J5" s="81"/>
      <c r="K5" s="17"/>
      <c r="M5" s="57" t="s">
        <v>22</v>
      </c>
      <c r="N5" s="58"/>
    </row>
    <row r="6" spans="2:14" ht="15.75" thickBot="1" x14ac:dyDescent="0.3">
      <c r="B6" s="16"/>
      <c r="C6" s="18"/>
      <c r="D6" s="18"/>
      <c r="E6" s="18"/>
      <c r="F6" s="18"/>
      <c r="G6" s="18"/>
      <c r="H6" s="18"/>
      <c r="I6" s="18"/>
      <c r="J6" s="18"/>
      <c r="K6" s="17"/>
      <c r="M6" s="59">
        <f>E16/0.9</f>
        <v>12000</v>
      </c>
      <c r="N6" s="60"/>
    </row>
    <row r="7" spans="2:14" ht="18.75" thickTop="1" thickBot="1" x14ac:dyDescent="0.35">
      <c r="B7" s="16"/>
      <c r="C7" s="82" t="s">
        <v>13</v>
      </c>
      <c r="D7" s="82"/>
      <c r="E7" s="44">
        <v>11300</v>
      </c>
      <c r="F7" s="44"/>
      <c r="G7" s="82" t="s">
        <v>1</v>
      </c>
      <c r="H7" s="82"/>
      <c r="I7" s="72">
        <v>0</v>
      </c>
      <c r="J7" s="72"/>
      <c r="K7" s="17"/>
      <c r="M7" s="61"/>
      <c r="N7" s="62"/>
    </row>
    <row r="8" spans="2:14" ht="18.75" thickTop="1" thickBot="1" x14ac:dyDescent="0.35">
      <c r="B8" s="16"/>
      <c r="C8" s="82" t="s">
        <v>23</v>
      </c>
      <c r="D8" s="82"/>
      <c r="E8" s="44">
        <v>1000</v>
      </c>
      <c r="F8" s="44"/>
      <c r="G8" s="82" t="s">
        <v>11</v>
      </c>
      <c r="H8" s="82"/>
      <c r="I8" s="44">
        <v>60</v>
      </c>
      <c r="J8" s="44"/>
      <c r="K8" s="17"/>
    </row>
    <row r="9" spans="2:14" ht="18.75" thickTop="1" thickBot="1" x14ac:dyDescent="0.35">
      <c r="B9" s="16"/>
      <c r="C9" s="82" t="s">
        <v>0</v>
      </c>
      <c r="D9" s="82"/>
      <c r="E9" s="45">
        <v>6.4999999999999997E-3</v>
      </c>
      <c r="F9" s="46"/>
      <c r="G9" s="82" t="s">
        <v>5</v>
      </c>
      <c r="H9" s="82"/>
      <c r="I9" s="47">
        <v>8.7999999999999995E-2</v>
      </c>
      <c r="J9" s="47"/>
      <c r="K9" s="17"/>
    </row>
    <row r="10" spans="2:14" ht="11.25" customHeight="1" thickTop="1" thickBot="1" x14ac:dyDescent="0.35">
      <c r="B10" s="16"/>
      <c r="C10" s="19"/>
      <c r="D10" s="19"/>
      <c r="E10" s="20"/>
      <c r="F10" s="20"/>
      <c r="G10" s="19"/>
      <c r="H10" s="19"/>
      <c r="I10" s="20"/>
      <c r="J10" s="20"/>
      <c r="K10" s="17"/>
    </row>
    <row r="11" spans="2:14" ht="14.25" customHeight="1" thickTop="1" thickBot="1" x14ac:dyDescent="0.3">
      <c r="B11" s="16"/>
      <c r="C11" s="83" t="s">
        <v>20</v>
      </c>
      <c r="D11" s="84"/>
      <c r="E11" s="54">
        <v>275</v>
      </c>
      <c r="F11" s="55"/>
      <c r="G11" s="85" t="s">
        <v>21</v>
      </c>
      <c r="H11" s="86"/>
      <c r="I11" s="87">
        <v>500</v>
      </c>
      <c r="J11" s="88"/>
      <c r="K11" s="17"/>
    </row>
    <row r="12" spans="2:14" ht="10.5" customHeight="1" thickTop="1" thickBot="1" x14ac:dyDescent="0.35">
      <c r="B12" s="16"/>
      <c r="C12" s="19"/>
      <c r="D12" s="19"/>
      <c r="E12" s="20"/>
      <c r="F12" s="20"/>
      <c r="G12" s="19"/>
      <c r="H12" s="19"/>
      <c r="I12" s="20"/>
      <c r="J12" s="20"/>
      <c r="K12" s="17"/>
    </row>
    <row r="13" spans="2:14" ht="18.75" thickTop="1" thickBot="1" x14ac:dyDescent="0.35">
      <c r="B13" s="16"/>
      <c r="C13" s="89" t="s">
        <v>5</v>
      </c>
      <c r="D13" s="89"/>
      <c r="E13" s="90">
        <f>I9</f>
        <v>8.7999999999999995E-2</v>
      </c>
      <c r="F13" s="90"/>
      <c r="G13" s="89" t="s">
        <v>6</v>
      </c>
      <c r="H13" s="89"/>
      <c r="I13" s="91">
        <f>E13*I14</f>
        <v>0.43999999999999995</v>
      </c>
      <c r="J13" s="91"/>
      <c r="K13" s="17"/>
    </row>
    <row r="14" spans="2:14" ht="18.75" thickTop="1" thickBot="1" x14ac:dyDescent="0.35">
      <c r="B14" s="16"/>
      <c r="C14" s="89" t="s">
        <v>14</v>
      </c>
      <c r="D14" s="89"/>
      <c r="E14" s="92">
        <f>E7</f>
        <v>11300</v>
      </c>
      <c r="F14" s="92"/>
      <c r="G14" s="89" t="s">
        <v>3</v>
      </c>
      <c r="H14" s="89"/>
      <c r="I14" s="92">
        <f>I15/12</f>
        <v>5</v>
      </c>
      <c r="J14" s="92"/>
      <c r="K14" s="17"/>
    </row>
    <row r="15" spans="2:14" ht="18.75" thickTop="1" thickBot="1" x14ac:dyDescent="0.35">
      <c r="B15" s="16"/>
      <c r="C15" s="89" t="s">
        <v>2</v>
      </c>
      <c r="D15" s="89"/>
      <c r="E15" s="92">
        <f>E8</f>
        <v>1000</v>
      </c>
      <c r="F15" s="92"/>
      <c r="G15" s="89" t="s">
        <v>4</v>
      </c>
      <c r="H15" s="89"/>
      <c r="I15" s="92">
        <f>I8</f>
        <v>60</v>
      </c>
      <c r="J15" s="92"/>
      <c r="K15" s="17"/>
    </row>
    <row r="16" spans="2:14" ht="18.75" thickTop="1" thickBot="1" x14ac:dyDescent="0.35">
      <c r="B16" s="16"/>
      <c r="C16" s="89" t="s">
        <v>15</v>
      </c>
      <c r="D16" s="89"/>
      <c r="E16" s="92">
        <f>E7-E8+I11</f>
        <v>10800</v>
      </c>
      <c r="F16" s="92"/>
      <c r="G16" s="93" t="s">
        <v>18</v>
      </c>
      <c r="H16" s="93"/>
      <c r="I16" s="92">
        <f>E16+E18</f>
        <v>15552</v>
      </c>
      <c r="J16" s="92"/>
      <c r="K16" s="17"/>
    </row>
    <row r="17" spans="2:11" ht="18.75" thickTop="1" thickBot="1" x14ac:dyDescent="0.35">
      <c r="B17" s="16"/>
      <c r="C17" s="94" t="s">
        <v>7</v>
      </c>
      <c r="D17" s="94"/>
      <c r="E17" s="95">
        <f>I8-I7</f>
        <v>60</v>
      </c>
      <c r="F17" s="95"/>
      <c r="G17" s="89" t="s">
        <v>8</v>
      </c>
      <c r="H17" s="89"/>
      <c r="I17" s="92">
        <f>I7</f>
        <v>0</v>
      </c>
      <c r="J17" s="92"/>
      <c r="K17" s="17"/>
    </row>
    <row r="18" spans="2:11" ht="16.5" customHeight="1" thickTop="1" thickBot="1" x14ac:dyDescent="0.3">
      <c r="B18" s="16"/>
      <c r="C18" s="101" t="s">
        <v>9</v>
      </c>
      <c r="D18" s="102"/>
      <c r="E18" s="103">
        <f>I13*E16</f>
        <v>4751.9999999999991</v>
      </c>
      <c r="F18" s="104"/>
      <c r="G18" s="101" t="s">
        <v>10</v>
      </c>
      <c r="H18" s="102"/>
      <c r="I18" s="105">
        <f>I19/E17</f>
        <v>272.20733333333334</v>
      </c>
      <c r="J18" s="106"/>
      <c r="K18" s="17"/>
    </row>
    <row r="19" spans="2:11" ht="16.5" customHeight="1" thickTop="1" thickBot="1" x14ac:dyDescent="0.3">
      <c r="B19" s="16"/>
      <c r="C19" s="101" t="s">
        <v>17</v>
      </c>
      <c r="D19" s="102"/>
      <c r="E19" s="103">
        <f>E9*I14*I16</f>
        <v>505.44</v>
      </c>
      <c r="F19" s="104"/>
      <c r="G19" s="101" t="s">
        <v>19</v>
      </c>
      <c r="H19" s="102"/>
      <c r="I19" s="107">
        <f>I16+E19+E11</f>
        <v>16332.44</v>
      </c>
      <c r="J19" s="108"/>
      <c r="K19" s="17"/>
    </row>
    <row r="20" spans="2:11" ht="15.75" hidden="1" thickTop="1" x14ac:dyDescent="0.25">
      <c r="B20" s="16"/>
      <c r="C20" s="96" t="s">
        <v>16</v>
      </c>
      <c r="D20" s="96"/>
      <c r="E20" s="96"/>
      <c r="F20" s="96"/>
      <c r="G20" s="98">
        <f>I19+E8</f>
        <v>17332.440000000002</v>
      </c>
      <c r="H20" s="99"/>
      <c r="I20" s="99"/>
      <c r="J20" s="99"/>
      <c r="K20" s="17"/>
    </row>
    <row r="21" spans="2:11" ht="16.5" hidden="1" thickTop="1" thickBot="1" x14ac:dyDescent="0.3">
      <c r="B21" s="16"/>
      <c r="C21" s="97"/>
      <c r="D21" s="97"/>
      <c r="E21" s="97"/>
      <c r="F21" s="97"/>
      <c r="G21" s="100"/>
      <c r="H21" s="100"/>
      <c r="I21" s="100"/>
      <c r="J21" s="100"/>
      <c r="K21" s="17"/>
    </row>
    <row r="22" spans="2:11" ht="15.75" thickTop="1" x14ac:dyDescent="0.25">
      <c r="B22" s="16"/>
      <c r="C22" s="18"/>
      <c r="D22" s="18"/>
      <c r="E22" s="18"/>
      <c r="F22" s="18"/>
      <c r="G22" s="18"/>
      <c r="H22" s="18"/>
      <c r="I22" s="18"/>
      <c r="J22" s="18"/>
      <c r="K22" s="17"/>
    </row>
    <row r="23" spans="2:11" ht="15.75" thickBo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3"/>
    </row>
    <row r="24" spans="2:11" ht="15.75" thickTop="1" x14ac:dyDescent="0.25"/>
  </sheetData>
  <sheetProtection algorithmName="SHA-512" hashValue="c02wHk4325PQnE5WIaPtr9GKMVqa/YwN6FJiWy2cUTS2PS7h0HGqlIJqtHkebN0zWipBU07ZLyK2Fx6thQm2Wg==" saltValue="+8KQcbPySXF8GWcbz5EZRg==" spinCount="100000" sheet="1" formatCells="0" formatColumns="0" formatRows="0" insertColumns="0" insertRows="0" insertHyperlinks="0" deleteColumns="0" deleteRows="0" sort="0" autoFilter="0" pivotTables="0"/>
  <mergeCells count="49">
    <mergeCell ref="C20:F21"/>
    <mergeCell ref="G20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1:D11"/>
    <mergeCell ref="E11:F11"/>
    <mergeCell ref="G11:H11"/>
    <mergeCell ref="I11:J11"/>
    <mergeCell ref="C13:D13"/>
    <mergeCell ref="E13:F13"/>
    <mergeCell ref="G13:H13"/>
    <mergeCell ref="I13:J13"/>
    <mergeCell ref="C8:D8"/>
    <mergeCell ref="E8:F8"/>
    <mergeCell ref="G8:H8"/>
    <mergeCell ref="I8:J8"/>
    <mergeCell ref="C9:D9"/>
    <mergeCell ref="E9:F9"/>
    <mergeCell ref="G9:H9"/>
    <mergeCell ref="I9:J9"/>
    <mergeCell ref="C3:J5"/>
    <mergeCell ref="M5:N5"/>
    <mergeCell ref="M6:N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8735-E03D-433C-9EBD-C2D8709E49B9}">
  <dimension ref="B1:N24"/>
  <sheetViews>
    <sheetView rightToLeft="1" zoomScale="90" zoomScaleNormal="90" workbookViewId="0">
      <selection activeCell="E9" sqref="E9:F9"/>
    </sheetView>
  </sheetViews>
  <sheetFormatPr defaultRowHeight="15" x14ac:dyDescent="0.25"/>
  <cols>
    <col min="1" max="1" width="6.28515625" customWidth="1"/>
    <col min="2" max="2" width="4" customWidth="1"/>
    <col min="4" max="4" width="10" customWidth="1"/>
    <col min="11" max="11" width="4" customWidth="1"/>
    <col min="13" max="13" width="23.5703125" customWidth="1"/>
    <col min="14" max="14" width="12.7109375" customWidth="1"/>
    <col min="15" max="15" width="13.7109375" customWidth="1"/>
    <col min="16" max="16" width="15.28515625" customWidth="1"/>
  </cols>
  <sheetData>
    <row r="1" spans="2:14" ht="15.75" thickBot="1" x14ac:dyDescent="0.3"/>
    <row r="2" spans="2:14" ht="16.5" thickTop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4" x14ac:dyDescent="0.25">
      <c r="B3" s="16"/>
      <c r="C3" s="73" t="s">
        <v>12</v>
      </c>
      <c r="D3" s="74"/>
      <c r="E3" s="74"/>
      <c r="F3" s="74"/>
      <c r="G3" s="74"/>
      <c r="H3" s="74"/>
      <c r="I3" s="74"/>
      <c r="J3" s="75"/>
      <c r="K3" s="17"/>
    </row>
    <row r="4" spans="2:14" ht="15.75" thickBot="1" x14ac:dyDescent="0.3">
      <c r="B4" s="16"/>
      <c r="C4" s="76"/>
      <c r="D4" s="77"/>
      <c r="E4" s="77"/>
      <c r="F4" s="77"/>
      <c r="G4" s="77"/>
      <c r="H4" s="77"/>
      <c r="I4" s="77"/>
      <c r="J4" s="78"/>
      <c r="K4" s="17"/>
      <c r="M4" s="12"/>
    </row>
    <row r="5" spans="2:14" ht="16.5" thickTop="1" thickBot="1" x14ac:dyDescent="0.3">
      <c r="B5" s="16"/>
      <c r="C5" s="79"/>
      <c r="D5" s="80"/>
      <c r="E5" s="80"/>
      <c r="F5" s="80"/>
      <c r="G5" s="80"/>
      <c r="H5" s="80"/>
      <c r="I5" s="80"/>
      <c r="J5" s="81"/>
      <c r="K5" s="17"/>
      <c r="M5" s="57" t="s">
        <v>22</v>
      </c>
      <c r="N5" s="58"/>
    </row>
    <row r="6" spans="2:14" ht="15.75" thickBot="1" x14ac:dyDescent="0.3">
      <c r="B6" s="16"/>
      <c r="C6" s="18"/>
      <c r="D6" s="18"/>
      <c r="E6" s="18"/>
      <c r="F6" s="18"/>
      <c r="G6" s="18"/>
      <c r="H6" s="18"/>
      <c r="I6" s="18"/>
      <c r="J6" s="18"/>
      <c r="K6" s="17"/>
      <c r="M6" s="59">
        <f>E16/0.85</f>
        <v>12529.411764705883</v>
      </c>
      <c r="N6" s="60"/>
    </row>
    <row r="7" spans="2:14" ht="18.75" thickTop="1" thickBot="1" x14ac:dyDescent="0.35">
      <c r="B7" s="16"/>
      <c r="C7" s="82" t="s">
        <v>13</v>
      </c>
      <c r="D7" s="82"/>
      <c r="E7" s="44">
        <v>10500</v>
      </c>
      <c r="F7" s="44"/>
      <c r="G7" s="82" t="s">
        <v>1</v>
      </c>
      <c r="H7" s="82"/>
      <c r="I7" s="72">
        <v>0</v>
      </c>
      <c r="J7" s="72"/>
      <c r="K7" s="17"/>
      <c r="M7" s="61"/>
      <c r="N7" s="62"/>
    </row>
    <row r="8" spans="2:14" ht="18.75" thickTop="1" thickBot="1" x14ac:dyDescent="0.35">
      <c r="B8" s="16"/>
      <c r="C8" s="82" t="s">
        <v>23</v>
      </c>
      <c r="D8" s="82"/>
      <c r="E8" s="44">
        <v>1000</v>
      </c>
      <c r="F8" s="44"/>
      <c r="G8" s="82" t="s">
        <v>11</v>
      </c>
      <c r="H8" s="82"/>
      <c r="I8" s="44">
        <v>84</v>
      </c>
      <c r="J8" s="44"/>
      <c r="K8" s="17"/>
    </row>
    <row r="9" spans="2:14" ht="18.75" thickTop="1" thickBot="1" x14ac:dyDescent="0.35">
      <c r="B9" s="16"/>
      <c r="C9" s="82" t="s">
        <v>0</v>
      </c>
      <c r="D9" s="82"/>
      <c r="E9" s="45">
        <v>0</v>
      </c>
      <c r="F9" s="46"/>
      <c r="G9" s="82" t="s">
        <v>5</v>
      </c>
      <c r="H9" s="82"/>
      <c r="I9" s="47">
        <v>0.09</v>
      </c>
      <c r="J9" s="47"/>
      <c r="K9" s="17"/>
    </row>
    <row r="10" spans="2:14" ht="11.25" customHeight="1" thickTop="1" thickBot="1" x14ac:dyDescent="0.35">
      <c r="B10" s="16"/>
      <c r="C10" s="19"/>
      <c r="D10" s="19"/>
      <c r="E10" s="20"/>
      <c r="F10" s="20"/>
      <c r="G10" s="19"/>
      <c r="H10" s="19"/>
      <c r="I10" s="20"/>
      <c r="J10" s="20"/>
      <c r="K10" s="17"/>
    </row>
    <row r="11" spans="2:14" ht="14.25" customHeight="1" thickTop="1" thickBot="1" x14ac:dyDescent="0.3">
      <c r="B11" s="16"/>
      <c r="C11" s="83" t="s">
        <v>20</v>
      </c>
      <c r="D11" s="84"/>
      <c r="E11" s="54">
        <v>250</v>
      </c>
      <c r="F11" s="55"/>
      <c r="G11" s="85" t="s">
        <v>21</v>
      </c>
      <c r="H11" s="86"/>
      <c r="I11" s="87">
        <v>900</v>
      </c>
      <c r="J11" s="88"/>
      <c r="K11" s="17"/>
    </row>
    <row r="12" spans="2:14" ht="10.5" customHeight="1" thickTop="1" thickBot="1" x14ac:dyDescent="0.35">
      <c r="B12" s="16"/>
      <c r="C12" s="19"/>
      <c r="D12" s="19"/>
      <c r="E12" s="20"/>
      <c r="F12" s="20"/>
      <c r="G12" s="19"/>
      <c r="H12" s="19"/>
      <c r="I12" s="20"/>
      <c r="J12" s="20"/>
      <c r="K12" s="17"/>
    </row>
    <row r="13" spans="2:14" ht="18.75" thickTop="1" thickBot="1" x14ac:dyDescent="0.35">
      <c r="B13" s="16"/>
      <c r="C13" s="89" t="s">
        <v>5</v>
      </c>
      <c r="D13" s="89"/>
      <c r="E13" s="90">
        <f>I9</f>
        <v>0.09</v>
      </c>
      <c r="F13" s="90"/>
      <c r="G13" s="89" t="s">
        <v>6</v>
      </c>
      <c r="H13" s="89"/>
      <c r="I13" s="91">
        <f>E13*I14</f>
        <v>0.63</v>
      </c>
      <c r="J13" s="91"/>
      <c r="K13" s="17"/>
    </row>
    <row r="14" spans="2:14" ht="18.75" thickTop="1" thickBot="1" x14ac:dyDescent="0.35">
      <c r="B14" s="16"/>
      <c r="C14" s="89" t="s">
        <v>14</v>
      </c>
      <c r="D14" s="89"/>
      <c r="E14" s="92">
        <f>E7</f>
        <v>10500</v>
      </c>
      <c r="F14" s="92"/>
      <c r="G14" s="89" t="s">
        <v>3</v>
      </c>
      <c r="H14" s="89"/>
      <c r="I14" s="92">
        <f>I15/12</f>
        <v>7</v>
      </c>
      <c r="J14" s="92"/>
      <c r="K14" s="17"/>
    </row>
    <row r="15" spans="2:14" ht="18.75" thickTop="1" thickBot="1" x14ac:dyDescent="0.35">
      <c r="B15" s="16"/>
      <c r="C15" s="89" t="s">
        <v>2</v>
      </c>
      <c r="D15" s="89"/>
      <c r="E15" s="92">
        <f>E8</f>
        <v>1000</v>
      </c>
      <c r="F15" s="92"/>
      <c r="G15" s="89" t="s">
        <v>4</v>
      </c>
      <c r="H15" s="89"/>
      <c r="I15" s="92">
        <f>I8</f>
        <v>84</v>
      </c>
      <c r="J15" s="92"/>
      <c r="K15" s="17"/>
    </row>
    <row r="16" spans="2:14" ht="18.75" thickTop="1" thickBot="1" x14ac:dyDescent="0.35">
      <c r="B16" s="16"/>
      <c r="C16" s="89" t="s">
        <v>15</v>
      </c>
      <c r="D16" s="89"/>
      <c r="E16" s="92">
        <f>E7-E8+I11+E11</f>
        <v>10650</v>
      </c>
      <c r="F16" s="92"/>
      <c r="G16" s="93" t="s">
        <v>18</v>
      </c>
      <c r="H16" s="93"/>
      <c r="I16" s="92">
        <f>E16+E18</f>
        <v>17359.5</v>
      </c>
      <c r="J16" s="92"/>
      <c r="K16" s="17"/>
    </row>
    <row r="17" spans="2:11" ht="18.75" thickTop="1" thickBot="1" x14ac:dyDescent="0.35">
      <c r="B17" s="16"/>
      <c r="C17" s="94" t="s">
        <v>7</v>
      </c>
      <c r="D17" s="94"/>
      <c r="E17" s="95">
        <f>I8-I7</f>
        <v>84</v>
      </c>
      <c r="F17" s="95"/>
      <c r="G17" s="89" t="s">
        <v>8</v>
      </c>
      <c r="H17" s="89"/>
      <c r="I17" s="92">
        <f>I7</f>
        <v>0</v>
      </c>
      <c r="J17" s="92"/>
      <c r="K17" s="17"/>
    </row>
    <row r="18" spans="2:11" ht="16.5" customHeight="1" thickTop="1" thickBot="1" x14ac:dyDescent="0.3">
      <c r="B18" s="16"/>
      <c r="C18" s="101" t="s">
        <v>9</v>
      </c>
      <c r="D18" s="102"/>
      <c r="E18" s="103">
        <f>I13*E16</f>
        <v>6709.5</v>
      </c>
      <c r="F18" s="104"/>
      <c r="G18" s="101" t="s">
        <v>10</v>
      </c>
      <c r="H18" s="102"/>
      <c r="I18" s="105">
        <f>I19/E17</f>
        <v>206.66071428571428</v>
      </c>
      <c r="J18" s="106"/>
      <c r="K18" s="17"/>
    </row>
    <row r="19" spans="2:11" ht="16.5" customHeight="1" thickTop="1" thickBot="1" x14ac:dyDescent="0.3">
      <c r="B19" s="16"/>
      <c r="C19" s="101" t="s">
        <v>17</v>
      </c>
      <c r="D19" s="102"/>
      <c r="E19" s="103">
        <f>E9*I14*I16</f>
        <v>0</v>
      </c>
      <c r="F19" s="104"/>
      <c r="G19" s="101" t="s">
        <v>19</v>
      </c>
      <c r="H19" s="102"/>
      <c r="I19" s="107">
        <f>I16+E19</f>
        <v>17359.5</v>
      </c>
      <c r="J19" s="108"/>
      <c r="K19" s="17"/>
    </row>
    <row r="20" spans="2:11" ht="15.75" hidden="1" thickTop="1" x14ac:dyDescent="0.25">
      <c r="B20" s="16"/>
      <c r="C20" s="96" t="s">
        <v>16</v>
      </c>
      <c r="D20" s="96"/>
      <c r="E20" s="96"/>
      <c r="F20" s="96"/>
      <c r="G20" s="98">
        <f>I19+E8</f>
        <v>18359.5</v>
      </c>
      <c r="H20" s="99"/>
      <c r="I20" s="99"/>
      <c r="J20" s="99"/>
      <c r="K20" s="17"/>
    </row>
    <row r="21" spans="2:11" ht="16.5" hidden="1" thickTop="1" thickBot="1" x14ac:dyDescent="0.3">
      <c r="B21" s="16"/>
      <c r="C21" s="97"/>
      <c r="D21" s="97"/>
      <c r="E21" s="97"/>
      <c r="F21" s="97"/>
      <c r="G21" s="100"/>
      <c r="H21" s="100"/>
      <c r="I21" s="100"/>
      <c r="J21" s="100"/>
      <c r="K21" s="17"/>
    </row>
    <row r="22" spans="2:11" ht="15.75" thickTop="1" x14ac:dyDescent="0.25">
      <c r="B22" s="16"/>
      <c r="C22" s="18"/>
      <c r="D22" s="18"/>
      <c r="E22" s="18"/>
      <c r="F22" s="18"/>
      <c r="G22" s="18"/>
      <c r="H22" s="18"/>
      <c r="I22" s="18"/>
      <c r="J22" s="18"/>
      <c r="K22" s="17"/>
    </row>
    <row r="23" spans="2:11" ht="15.75" thickBo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3"/>
    </row>
    <row r="24" spans="2:11" ht="15.75" thickTop="1" x14ac:dyDescent="0.25"/>
  </sheetData>
  <sheetProtection algorithmName="SHA-512" hashValue="kvw+8t6y5xKa5zve/eZxY209c0m8Yz0fgGa54YLHwrGz+ZDeGvGs0ks1FHqqgA7W9bLroCWPuSY0wesFilNGwg==" saltValue="9zI4+XbrtJPrN01G7BvbEQ==" spinCount="100000" sheet="1" formatCells="0" formatColumns="0" formatRows="0" insertColumns="0" insertRows="0" insertHyperlinks="0" deleteColumns="0" deleteRows="0" sort="0" autoFilter="0" pivotTables="0"/>
  <mergeCells count="49">
    <mergeCell ref="C20:F21"/>
    <mergeCell ref="G20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1:D11"/>
    <mergeCell ref="E11:F11"/>
    <mergeCell ref="G11:H11"/>
    <mergeCell ref="I11:J11"/>
    <mergeCell ref="C13:D13"/>
    <mergeCell ref="E13:F13"/>
    <mergeCell ref="G13:H13"/>
    <mergeCell ref="I13:J13"/>
    <mergeCell ref="C8:D8"/>
    <mergeCell ref="E8:F8"/>
    <mergeCell ref="G8:H8"/>
    <mergeCell ref="I8:J8"/>
    <mergeCell ref="C9:D9"/>
    <mergeCell ref="E9:F9"/>
    <mergeCell ref="G9:H9"/>
    <mergeCell ref="I9:J9"/>
    <mergeCell ref="C3:J5"/>
    <mergeCell ref="M5:N5"/>
    <mergeCell ref="M6:N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4760-EB09-45C6-ACBF-F68944AC2DFD}">
  <dimension ref="B1:N24"/>
  <sheetViews>
    <sheetView rightToLeft="1" topLeftCell="C1" zoomScale="90" zoomScaleNormal="90" workbookViewId="0">
      <selection activeCell="I18" sqref="I18:J18"/>
    </sheetView>
  </sheetViews>
  <sheetFormatPr defaultRowHeight="15" x14ac:dyDescent="0.25"/>
  <cols>
    <col min="1" max="1" width="6.28515625" customWidth="1"/>
    <col min="2" max="2" width="4" customWidth="1"/>
    <col min="4" max="4" width="10" customWidth="1"/>
    <col min="11" max="11" width="4" customWidth="1"/>
    <col min="13" max="13" width="23.5703125" customWidth="1"/>
    <col min="14" max="14" width="12.7109375" customWidth="1"/>
    <col min="15" max="15" width="13.7109375" customWidth="1"/>
    <col min="16" max="16" width="15.28515625" customWidth="1"/>
  </cols>
  <sheetData>
    <row r="1" spans="2:14" ht="15.75" thickBot="1" x14ac:dyDescent="0.3"/>
    <row r="2" spans="2:14" ht="16.5" thickTop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4" x14ac:dyDescent="0.25">
      <c r="B3" s="16"/>
      <c r="C3" s="73" t="s">
        <v>12</v>
      </c>
      <c r="D3" s="74"/>
      <c r="E3" s="74"/>
      <c r="F3" s="74"/>
      <c r="G3" s="74"/>
      <c r="H3" s="74"/>
      <c r="I3" s="74"/>
      <c r="J3" s="75"/>
      <c r="K3" s="17"/>
    </row>
    <row r="4" spans="2:14" ht="15.75" thickBot="1" x14ac:dyDescent="0.3">
      <c r="B4" s="16"/>
      <c r="C4" s="76"/>
      <c r="D4" s="77"/>
      <c r="E4" s="77"/>
      <c r="F4" s="77"/>
      <c r="G4" s="77"/>
      <c r="H4" s="77"/>
      <c r="I4" s="77"/>
      <c r="J4" s="78"/>
      <c r="K4" s="17"/>
      <c r="M4" s="12"/>
    </row>
    <row r="5" spans="2:14" ht="16.5" thickTop="1" thickBot="1" x14ac:dyDescent="0.3">
      <c r="B5" s="16"/>
      <c r="C5" s="79"/>
      <c r="D5" s="80"/>
      <c r="E5" s="80"/>
      <c r="F5" s="80"/>
      <c r="G5" s="80"/>
      <c r="H5" s="80"/>
      <c r="I5" s="80"/>
      <c r="J5" s="81"/>
      <c r="K5" s="17"/>
      <c r="M5" s="57" t="s">
        <v>22</v>
      </c>
      <c r="N5" s="58"/>
    </row>
    <row r="6" spans="2:14" ht="15.75" thickBot="1" x14ac:dyDescent="0.3">
      <c r="B6" s="16"/>
      <c r="C6" s="18"/>
      <c r="D6" s="18"/>
      <c r="E6" s="18"/>
      <c r="F6" s="18"/>
      <c r="G6" s="18"/>
      <c r="H6" s="18"/>
      <c r="I6" s="18"/>
      <c r="J6" s="18"/>
      <c r="K6" s="17"/>
      <c r="M6" s="59">
        <f>E16/0.85</f>
        <v>17941.176470588234</v>
      </c>
      <c r="N6" s="60"/>
    </row>
    <row r="7" spans="2:14" ht="18.75" thickTop="1" thickBot="1" x14ac:dyDescent="0.35">
      <c r="B7" s="16"/>
      <c r="C7" s="82" t="s">
        <v>13</v>
      </c>
      <c r="D7" s="82"/>
      <c r="E7" s="44">
        <v>16000</v>
      </c>
      <c r="F7" s="44"/>
      <c r="G7" s="82" t="s">
        <v>1</v>
      </c>
      <c r="H7" s="82"/>
      <c r="I7" s="72">
        <v>0</v>
      </c>
      <c r="J7" s="72"/>
      <c r="K7" s="17"/>
      <c r="M7" s="61"/>
      <c r="N7" s="62"/>
    </row>
    <row r="8" spans="2:14" ht="18.75" thickTop="1" thickBot="1" x14ac:dyDescent="0.35">
      <c r="B8" s="16"/>
      <c r="C8" s="82" t="s">
        <v>23</v>
      </c>
      <c r="D8" s="82"/>
      <c r="E8" s="44">
        <v>2400</v>
      </c>
      <c r="F8" s="44"/>
      <c r="G8" s="82" t="s">
        <v>11</v>
      </c>
      <c r="H8" s="82"/>
      <c r="I8" s="44">
        <v>84</v>
      </c>
      <c r="J8" s="44"/>
      <c r="K8" s="17"/>
    </row>
    <row r="9" spans="2:14" ht="18.75" thickTop="1" thickBot="1" x14ac:dyDescent="0.35">
      <c r="B9" s="16"/>
      <c r="C9" s="82" t="s">
        <v>0</v>
      </c>
      <c r="D9" s="82"/>
      <c r="E9" s="45">
        <v>0</v>
      </c>
      <c r="F9" s="46"/>
      <c r="G9" s="82" t="s">
        <v>5</v>
      </c>
      <c r="H9" s="82"/>
      <c r="I9" s="47">
        <v>7.8E-2</v>
      </c>
      <c r="J9" s="47"/>
      <c r="K9" s="17"/>
    </row>
    <row r="10" spans="2:14" ht="11.25" customHeight="1" thickTop="1" thickBot="1" x14ac:dyDescent="0.35">
      <c r="B10" s="16"/>
      <c r="C10" s="19"/>
      <c r="D10" s="19"/>
      <c r="E10" s="20"/>
      <c r="F10" s="20"/>
      <c r="G10" s="19"/>
      <c r="H10" s="19"/>
      <c r="I10" s="20"/>
      <c r="J10" s="20"/>
      <c r="K10" s="17"/>
    </row>
    <row r="11" spans="2:14" ht="14.25" customHeight="1" thickTop="1" thickBot="1" x14ac:dyDescent="0.3">
      <c r="B11" s="16"/>
      <c r="C11" s="83" t="s">
        <v>20</v>
      </c>
      <c r="D11" s="84"/>
      <c r="E11" s="54">
        <v>750</v>
      </c>
      <c r="F11" s="55"/>
      <c r="G11" s="85" t="s">
        <v>21</v>
      </c>
      <c r="H11" s="86"/>
      <c r="I11" s="87">
        <v>900</v>
      </c>
      <c r="J11" s="88"/>
      <c r="K11" s="17"/>
    </row>
    <row r="12" spans="2:14" ht="10.5" customHeight="1" thickTop="1" thickBot="1" x14ac:dyDescent="0.35">
      <c r="B12" s="16"/>
      <c r="C12" s="19"/>
      <c r="D12" s="19"/>
      <c r="E12" s="20"/>
      <c r="F12" s="20"/>
      <c r="G12" s="19"/>
      <c r="H12" s="19"/>
      <c r="I12" s="20"/>
      <c r="J12" s="20"/>
      <c r="K12" s="17"/>
    </row>
    <row r="13" spans="2:14" ht="18.75" thickTop="1" thickBot="1" x14ac:dyDescent="0.35">
      <c r="B13" s="16"/>
      <c r="C13" s="89" t="s">
        <v>5</v>
      </c>
      <c r="D13" s="89"/>
      <c r="E13" s="90">
        <f>I9</f>
        <v>7.8E-2</v>
      </c>
      <c r="F13" s="90"/>
      <c r="G13" s="89" t="s">
        <v>6</v>
      </c>
      <c r="H13" s="89"/>
      <c r="I13" s="91">
        <f>E13*I14</f>
        <v>0.54600000000000004</v>
      </c>
      <c r="J13" s="91"/>
      <c r="K13" s="17"/>
    </row>
    <row r="14" spans="2:14" ht="18.75" thickTop="1" thickBot="1" x14ac:dyDescent="0.35">
      <c r="B14" s="16"/>
      <c r="C14" s="89" t="s">
        <v>14</v>
      </c>
      <c r="D14" s="89"/>
      <c r="E14" s="92">
        <f>E7</f>
        <v>16000</v>
      </c>
      <c r="F14" s="92"/>
      <c r="G14" s="89" t="s">
        <v>3</v>
      </c>
      <c r="H14" s="89"/>
      <c r="I14" s="92">
        <f>I15/12</f>
        <v>7</v>
      </c>
      <c r="J14" s="92"/>
      <c r="K14" s="17"/>
    </row>
    <row r="15" spans="2:14" ht="18.75" thickTop="1" thickBot="1" x14ac:dyDescent="0.35">
      <c r="B15" s="16"/>
      <c r="C15" s="89" t="s">
        <v>2</v>
      </c>
      <c r="D15" s="89"/>
      <c r="E15" s="92">
        <f>E8</f>
        <v>2400</v>
      </c>
      <c r="F15" s="92"/>
      <c r="G15" s="89" t="s">
        <v>4</v>
      </c>
      <c r="H15" s="89"/>
      <c r="I15" s="92">
        <f>I8</f>
        <v>84</v>
      </c>
      <c r="J15" s="92"/>
      <c r="K15" s="17"/>
    </row>
    <row r="16" spans="2:14" ht="18.75" thickTop="1" thickBot="1" x14ac:dyDescent="0.35">
      <c r="B16" s="16"/>
      <c r="C16" s="89" t="s">
        <v>15</v>
      </c>
      <c r="D16" s="89"/>
      <c r="E16" s="92">
        <f>E7-E8+I11+E11</f>
        <v>15250</v>
      </c>
      <c r="F16" s="92"/>
      <c r="G16" s="93" t="s">
        <v>18</v>
      </c>
      <c r="H16" s="93"/>
      <c r="I16" s="92">
        <f>E16+E18</f>
        <v>23576.5</v>
      </c>
      <c r="J16" s="92"/>
      <c r="K16" s="17"/>
    </row>
    <row r="17" spans="2:11" ht="18.75" thickTop="1" thickBot="1" x14ac:dyDescent="0.35">
      <c r="B17" s="16"/>
      <c r="C17" s="94" t="s">
        <v>7</v>
      </c>
      <c r="D17" s="94"/>
      <c r="E17" s="95">
        <f>I8-I7</f>
        <v>84</v>
      </c>
      <c r="F17" s="95"/>
      <c r="G17" s="89" t="s">
        <v>8</v>
      </c>
      <c r="H17" s="89"/>
      <c r="I17" s="92">
        <f>I7</f>
        <v>0</v>
      </c>
      <c r="J17" s="92"/>
      <c r="K17" s="17"/>
    </row>
    <row r="18" spans="2:11" ht="16.5" customHeight="1" thickTop="1" thickBot="1" x14ac:dyDescent="0.3">
      <c r="B18" s="16"/>
      <c r="C18" s="101" t="s">
        <v>9</v>
      </c>
      <c r="D18" s="102"/>
      <c r="E18" s="103">
        <f>I13*E16</f>
        <v>8326.5</v>
      </c>
      <c r="F18" s="104"/>
      <c r="G18" s="101" t="s">
        <v>10</v>
      </c>
      <c r="H18" s="102"/>
      <c r="I18" s="105">
        <f>I19/E17</f>
        <v>280.67261904761904</v>
      </c>
      <c r="J18" s="106"/>
      <c r="K18" s="17"/>
    </row>
    <row r="19" spans="2:11" ht="16.5" customHeight="1" thickTop="1" thickBot="1" x14ac:dyDescent="0.3">
      <c r="B19" s="16"/>
      <c r="C19" s="101" t="s">
        <v>17</v>
      </c>
      <c r="D19" s="102"/>
      <c r="E19" s="103">
        <f>E9*I14*I16</f>
        <v>0</v>
      </c>
      <c r="F19" s="104"/>
      <c r="G19" s="101" t="s">
        <v>19</v>
      </c>
      <c r="H19" s="102"/>
      <c r="I19" s="107">
        <f>I16+E19</f>
        <v>23576.5</v>
      </c>
      <c r="J19" s="108"/>
      <c r="K19" s="17"/>
    </row>
    <row r="20" spans="2:11" ht="15.75" hidden="1" thickTop="1" x14ac:dyDescent="0.25">
      <c r="B20" s="16"/>
      <c r="C20" s="96" t="s">
        <v>16</v>
      </c>
      <c r="D20" s="96"/>
      <c r="E20" s="96"/>
      <c r="F20" s="96"/>
      <c r="G20" s="98">
        <f>I19+E8</f>
        <v>25976.5</v>
      </c>
      <c r="H20" s="99"/>
      <c r="I20" s="99"/>
      <c r="J20" s="99"/>
      <c r="K20" s="17"/>
    </row>
    <row r="21" spans="2:11" ht="16.5" hidden="1" thickTop="1" thickBot="1" x14ac:dyDescent="0.3">
      <c r="B21" s="16"/>
      <c r="C21" s="97"/>
      <c r="D21" s="97"/>
      <c r="E21" s="97"/>
      <c r="F21" s="97"/>
      <c r="G21" s="100"/>
      <c r="H21" s="100"/>
      <c r="I21" s="100"/>
      <c r="J21" s="100"/>
      <c r="K21" s="17"/>
    </row>
    <row r="22" spans="2:11" ht="15.75" thickTop="1" x14ac:dyDescent="0.25">
      <c r="B22" s="16"/>
      <c r="C22" s="18"/>
      <c r="D22" s="18"/>
      <c r="E22" s="18"/>
      <c r="F22" s="18"/>
      <c r="G22" s="18"/>
      <c r="H22" s="18"/>
      <c r="I22" s="18"/>
      <c r="J22" s="18"/>
      <c r="K22" s="17"/>
    </row>
    <row r="23" spans="2:11" ht="15.75" thickBo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3"/>
    </row>
    <row r="24" spans="2:11" ht="15.75" thickTop="1" x14ac:dyDescent="0.25"/>
  </sheetData>
  <sheetProtection algorithmName="SHA-512" hashValue="yOoeTXtQpZbmj2/RgSoz/nX+Oy9zRNnYjAlA8YnJCNNW0kAG6um9yVzwc5+0CnNJsBuENs2jdNxcs//PqqBvOQ==" saltValue="aCEmEj1plvkEhIece+EWYw==" spinCount="100000" sheet="1" formatCells="0" formatColumns="0" formatRows="0" insertColumns="0" insertRows="0" insertHyperlinks="0" deleteColumns="0" deleteRows="0" sort="0" autoFilter="0" pivotTables="0"/>
  <mergeCells count="49">
    <mergeCell ref="C20:F21"/>
    <mergeCell ref="G20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1:D11"/>
    <mergeCell ref="E11:F11"/>
    <mergeCell ref="G11:H11"/>
    <mergeCell ref="I11:J11"/>
    <mergeCell ref="C13:D13"/>
    <mergeCell ref="E13:F13"/>
    <mergeCell ref="G13:H13"/>
    <mergeCell ref="I13:J13"/>
    <mergeCell ref="C8:D8"/>
    <mergeCell ref="E8:F8"/>
    <mergeCell ref="G8:H8"/>
    <mergeCell ref="I8:J8"/>
    <mergeCell ref="C9:D9"/>
    <mergeCell ref="E9:F9"/>
    <mergeCell ref="G9:H9"/>
    <mergeCell ref="I9:J9"/>
    <mergeCell ref="C3:J5"/>
    <mergeCell ref="M5:N5"/>
    <mergeCell ref="M6:N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6690-0B57-454C-8041-73C8BC296DC9}">
  <dimension ref="B1:N24"/>
  <sheetViews>
    <sheetView rightToLeft="1" zoomScale="90" zoomScaleNormal="90" workbookViewId="0">
      <selection activeCell="I8" sqref="I8:J8"/>
    </sheetView>
  </sheetViews>
  <sheetFormatPr defaultRowHeight="15" x14ac:dyDescent="0.25"/>
  <cols>
    <col min="1" max="1" width="6.28515625" customWidth="1"/>
    <col min="2" max="2" width="4" customWidth="1"/>
    <col min="4" max="4" width="10" customWidth="1"/>
    <col min="11" max="11" width="4" customWidth="1"/>
    <col min="13" max="13" width="23.5703125" customWidth="1"/>
    <col min="14" max="14" width="12.7109375" customWidth="1"/>
    <col min="15" max="15" width="13.7109375" customWidth="1"/>
    <col min="16" max="16" width="15.28515625" customWidth="1"/>
  </cols>
  <sheetData>
    <row r="1" spans="2:14" ht="15.75" thickBot="1" x14ac:dyDescent="0.3"/>
    <row r="2" spans="2:14" ht="16.5" thickTop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4" x14ac:dyDescent="0.25">
      <c r="B3" s="16"/>
      <c r="C3" s="73" t="s">
        <v>12</v>
      </c>
      <c r="D3" s="74"/>
      <c r="E3" s="74"/>
      <c r="F3" s="74"/>
      <c r="G3" s="74"/>
      <c r="H3" s="74"/>
      <c r="I3" s="74"/>
      <c r="J3" s="75"/>
      <c r="K3" s="17"/>
    </row>
    <row r="4" spans="2:14" ht="15.75" thickBot="1" x14ac:dyDescent="0.3">
      <c r="B4" s="16"/>
      <c r="C4" s="76"/>
      <c r="D4" s="77"/>
      <c r="E4" s="77"/>
      <c r="F4" s="77"/>
      <c r="G4" s="77"/>
      <c r="H4" s="77"/>
      <c r="I4" s="77"/>
      <c r="J4" s="78"/>
      <c r="K4" s="17"/>
      <c r="M4" s="12"/>
    </row>
    <row r="5" spans="2:14" ht="16.5" thickTop="1" thickBot="1" x14ac:dyDescent="0.3">
      <c r="B5" s="16"/>
      <c r="C5" s="79"/>
      <c r="D5" s="80"/>
      <c r="E5" s="80"/>
      <c r="F5" s="80"/>
      <c r="G5" s="80"/>
      <c r="H5" s="80"/>
      <c r="I5" s="80"/>
      <c r="J5" s="81"/>
      <c r="K5" s="17"/>
      <c r="M5" s="57" t="s">
        <v>22</v>
      </c>
      <c r="N5" s="58"/>
    </row>
    <row r="6" spans="2:14" ht="15.75" thickBot="1" x14ac:dyDescent="0.3">
      <c r="B6" s="16"/>
      <c r="C6" s="18"/>
      <c r="D6" s="18"/>
      <c r="E6" s="18"/>
      <c r="F6" s="18"/>
      <c r="G6" s="18"/>
      <c r="H6" s="18"/>
      <c r="I6" s="18"/>
      <c r="J6" s="18"/>
      <c r="K6" s="17"/>
      <c r="M6" s="59">
        <f>E16/0.9</f>
        <v>10555.555555555555</v>
      </c>
      <c r="N6" s="60"/>
    </row>
    <row r="7" spans="2:14" ht="18.75" thickTop="1" thickBot="1" x14ac:dyDescent="0.35">
      <c r="B7" s="16"/>
      <c r="C7" s="82" t="s">
        <v>13</v>
      </c>
      <c r="D7" s="82"/>
      <c r="E7" s="44">
        <v>12400</v>
      </c>
      <c r="F7" s="44"/>
      <c r="G7" s="82" t="s">
        <v>1</v>
      </c>
      <c r="H7" s="82"/>
      <c r="I7" s="72">
        <v>0</v>
      </c>
      <c r="J7" s="72"/>
      <c r="K7" s="17"/>
      <c r="M7" s="61"/>
      <c r="N7" s="62"/>
    </row>
    <row r="8" spans="2:14" ht="18.75" thickTop="1" thickBot="1" x14ac:dyDescent="0.35">
      <c r="B8" s="16"/>
      <c r="C8" s="82" t="s">
        <v>23</v>
      </c>
      <c r="D8" s="82"/>
      <c r="E8" s="44">
        <v>4000</v>
      </c>
      <c r="F8" s="44"/>
      <c r="G8" s="82" t="s">
        <v>11</v>
      </c>
      <c r="H8" s="82"/>
      <c r="I8" s="44">
        <v>84</v>
      </c>
      <c r="J8" s="44"/>
      <c r="K8" s="17"/>
    </row>
    <row r="9" spans="2:14" ht="18.75" thickTop="1" thickBot="1" x14ac:dyDescent="0.35">
      <c r="B9" s="16"/>
      <c r="C9" s="82" t="s">
        <v>0</v>
      </c>
      <c r="D9" s="82"/>
      <c r="E9" s="45">
        <v>0</v>
      </c>
      <c r="F9" s="46"/>
      <c r="G9" s="82" t="s">
        <v>5</v>
      </c>
      <c r="H9" s="82"/>
      <c r="I9" s="47">
        <v>8.5000000000000006E-2</v>
      </c>
      <c r="J9" s="47"/>
      <c r="K9" s="17"/>
    </row>
    <row r="10" spans="2:14" ht="11.25" customHeight="1" thickTop="1" thickBot="1" x14ac:dyDescent="0.35">
      <c r="B10" s="16"/>
      <c r="C10" s="19"/>
      <c r="D10" s="19"/>
      <c r="E10" s="20"/>
      <c r="F10" s="20"/>
      <c r="G10" s="19"/>
      <c r="H10" s="19"/>
      <c r="I10" s="20"/>
      <c r="J10" s="20"/>
      <c r="K10" s="17"/>
    </row>
    <row r="11" spans="2:14" ht="14.25" customHeight="1" thickTop="1" thickBot="1" x14ac:dyDescent="0.3">
      <c r="B11" s="16"/>
      <c r="C11" s="83" t="s">
        <v>20</v>
      </c>
      <c r="D11" s="84"/>
      <c r="E11" s="54">
        <v>0</v>
      </c>
      <c r="F11" s="55"/>
      <c r="G11" s="85" t="s">
        <v>21</v>
      </c>
      <c r="H11" s="86"/>
      <c r="I11" s="87">
        <v>1100</v>
      </c>
      <c r="J11" s="88"/>
      <c r="K11" s="17"/>
    </row>
    <row r="12" spans="2:14" ht="10.5" customHeight="1" thickTop="1" thickBot="1" x14ac:dyDescent="0.35">
      <c r="B12" s="16"/>
      <c r="C12" s="19"/>
      <c r="D12" s="19"/>
      <c r="E12" s="20"/>
      <c r="F12" s="20"/>
      <c r="G12" s="19"/>
      <c r="H12" s="19"/>
      <c r="I12" s="20"/>
      <c r="J12" s="20"/>
      <c r="K12" s="17"/>
    </row>
    <row r="13" spans="2:14" ht="18.75" thickTop="1" thickBot="1" x14ac:dyDescent="0.35">
      <c r="B13" s="16"/>
      <c r="C13" s="89" t="s">
        <v>5</v>
      </c>
      <c r="D13" s="89"/>
      <c r="E13" s="90">
        <f>I9</f>
        <v>8.5000000000000006E-2</v>
      </c>
      <c r="F13" s="90"/>
      <c r="G13" s="89" t="s">
        <v>6</v>
      </c>
      <c r="H13" s="89"/>
      <c r="I13" s="91">
        <f>E13*I14</f>
        <v>0.59500000000000008</v>
      </c>
      <c r="J13" s="91"/>
      <c r="K13" s="17"/>
    </row>
    <row r="14" spans="2:14" ht="18.75" thickTop="1" thickBot="1" x14ac:dyDescent="0.35">
      <c r="B14" s="16"/>
      <c r="C14" s="89" t="s">
        <v>14</v>
      </c>
      <c r="D14" s="89"/>
      <c r="E14" s="92">
        <f>E7</f>
        <v>12400</v>
      </c>
      <c r="F14" s="92"/>
      <c r="G14" s="89" t="s">
        <v>3</v>
      </c>
      <c r="H14" s="89"/>
      <c r="I14" s="92">
        <f>I15/12</f>
        <v>7</v>
      </c>
      <c r="J14" s="92"/>
      <c r="K14" s="17"/>
    </row>
    <row r="15" spans="2:14" ht="18.75" thickTop="1" thickBot="1" x14ac:dyDescent="0.35">
      <c r="B15" s="16"/>
      <c r="C15" s="89" t="s">
        <v>2</v>
      </c>
      <c r="D15" s="89"/>
      <c r="E15" s="92">
        <f>E8</f>
        <v>4000</v>
      </c>
      <c r="F15" s="92"/>
      <c r="G15" s="89" t="s">
        <v>4</v>
      </c>
      <c r="H15" s="89"/>
      <c r="I15" s="92">
        <f>I8</f>
        <v>84</v>
      </c>
      <c r="J15" s="92"/>
      <c r="K15" s="17"/>
    </row>
    <row r="16" spans="2:14" ht="18.75" thickTop="1" thickBot="1" x14ac:dyDescent="0.35">
      <c r="B16" s="16"/>
      <c r="C16" s="89" t="s">
        <v>15</v>
      </c>
      <c r="D16" s="89"/>
      <c r="E16" s="92">
        <f>E7-E8+E11+I11</f>
        <v>9500</v>
      </c>
      <c r="F16" s="92"/>
      <c r="G16" s="93" t="s">
        <v>18</v>
      </c>
      <c r="H16" s="93"/>
      <c r="I16" s="92">
        <f>E16+E18</f>
        <v>15152.5</v>
      </c>
      <c r="J16" s="92"/>
      <c r="K16" s="17"/>
    </row>
    <row r="17" spans="2:11" ht="18.75" thickTop="1" thickBot="1" x14ac:dyDescent="0.35">
      <c r="B17" s="16"/>
      <c r="C17" s="94" t="s">
        <v>7</v>
      </c>
      <c r="D17" s="94"/>
      <c r="E17" s="95">
        <f>I8-I7</f>
        <v>84</v>
      </c>
      <c r="F17" s="95"/>
      <c r="G17" s="89" t="s">
        <v>8</v>
      </c>
      <c r="H17" s="89"/>
      <c r="I17" s="92">
        <f>I7</f>
        <v>0</v>
      </c>
      <c r="J17" s="92"/>
      <c r="K17" s="17"/>
    </row>
    <row r="18" spans="2:11" ht="16.5" customHeight="1" thickTop="1" thickBot="1" x14ac:dyDescent="0.3">
      <c r="B18" s="16"/>
      <c r="C18" s="101" t="s">
        <v>9</v>
      </c>
      <c r="D18" s="102"/>
      <c r="E18" s="103">
        <f>I13*E16</f>
        <v>5652.5000000000009</v>
      </c>
      <c r="F18" s="104"/>
      <c r="G18" s="101" t="s">
        <v>10</v>
      </c>
      <c r="H18" s="102"/>
      <c r="I18" s="105">
        <f>I19/E17</f>
        <v>180.38690476190476</v>
      </c>
      <c r="J18" s="106"/>
      <c r="K18" s="17"/>
    </row>
    <row r="19" spans="2:11" ht="16.5" customHeight="1" thickTop="1" thickBot="1" x14ac:dyDescent="0.3">
      <c r="B19" s="16"/>
      <c r="C19" s="101" t="s">
        <v>17</v>
      </c>
      <c r="D19" s="102"/>
      <c r="E19" s="103">
        <f>E9*I14*I16</f>
        <v>0</v>
      </c>
      <c r="F19" s="104"/>
      <c r="G19" s="101" t="s">
        <v>19</v>
      </c>
      <c r="H19" s="102"/>
      <c r="I19" s="107">
        <f>I16+E19</f>
        <v>15152.5</v>
      </c>
      <c r="J19" s="108"/>
      <c r="K19" s="17"/>
    </row>
    <row r="20" spans="2:11" ht="15.75" hidden="1" thickTop="1" x14ac:dyDescent="0.25">
      <c r="B20" s="16"/>
      <c r="C20" s="96" t="s">
        <v>16</v>
      </c>
      <c r="D20" s="96"/>
      <c r="E20" s="96"/>
      <c r="F20" s="96"/>
      <c r="G20" s="98">
        <f>I19+E8</f>
        <v>19152.5</v>
      </c>
      <c r="H20" s="99"/>
      <c r="I20" s="99"/>
      <c r="J20" s="99"/>
      <c r="K20" s="17"/>
    </row>
    <row r="21" spans="2:11" ht="16.5" hidden="1" thickTop="1" thickBot="1" x14ac:dyDescent="0.3">
      <c r="B21" s="16"/>
      <c r="C21" s="97"/>
      <c r="D21" s="97"/>
      <c r="E21" s="97"/>
      <c r="F21" s="97"/>
      <c r="G21" s="100"/>
      <c r="H21" s="100"/>
      <c r="I21" s="100"/>
      <c r="J21" s="100"/>
      <c r="K21" s="17"/>
    </row>
    <row r="22" spans="2:11" ht="15.75" thickTop="1" x14ac:dyDescent="0.25">
      <c r="B22" s="16"/>
      <c r="C22" s="18"/>
      <c r="D22" s="18"/>
      <c r="E22" s="18"/>
      <c r="F22" s="18"/>
      <c r="G22" s="18"/>
      <c r="H22" s="18"/>
      <c r="I22" s="18"/>
      <c r="J22" s="18"/>
      <c r="K22" s="17"/>
    </row>
    <row r="23" spans="2:11" ht="15.75" thickBo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3"/>
    </row>
    <row r="24" spans="2:11" ht="15.75" thickTop="1" x14ac:dyDescent="0.25"/>
  </sheetData>
  <sheetProtection algorithmName="SHA-512" hashValue="+xpURIVqWrCldMc15Nt6s/BALVSoZckvlpCDeFQMiez92j/e1tL16K2ofaSivxIrBvt9O/23AqdQDC2RoG0J+A==" saltValue="FE0zyXG3fzNOR4fBzSx85Q==" spinCount="100000" sheet="1" formatCells="0" formatColumns="0" formatRows="0" insertColumns="0" insertRows="0" insertHyperlinks="0" deleteColumns="0" deleteRows="0" sort="0" autoFilter="0" pivotTables="0"/>
  <mergeCells count="49">
    <mergeCell ref="C20:F21"/>
    <mergeCell ref="G20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1:D11"/>
    <mergeCell ref="E11:F11"/>
    <mergeCell ref="G11:H11"/>
    <mergeCell ref="I11:J11"/>
    <mergeCell ref="C13:D13"/>
    <mergeCell ref="E13:F13"/>
    <mergeCell ref="G13:H13"/>
    <mergeCell ref="I13:J13"/>
    <mergeCell ref="C8:D8"/>
    <mergeCell ref="E8:F8"/>
    <mergeCell ref="G8:H8"/>
    <mergeCell ref="I8:J8"/>
    <mergeCell ref="C9:D9"/>
    <mergeCell ref="E9:F9"/>
    <mergeCell ref="G9:H9"/>
    <mergeCell ref="I9:J9"/>
    <mergeCell ref="C3:J5"/>
    <mergeCell ref="M5:N5"/>
    <mergeCell ref="M6:N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5D10-733E-41A3-B958-74B2C2CA0C71}">
  <dimension ref="B1:N24"/>
  <sheetViews>
    <sheetView rightToLeft="1" tabSelected="1" zoomScale="115" zoomScaleNormal="115" workbookViewId="0">
      <selection activeCell="E9" sqref="E9:F9"/>
    </sheetView>
  </sheetViews>
  <sheetFormatPr defaultRowHeight="15" x14ac:dyDescent="0.25"/>
  <cols>
    <col min="1" max="1" width="6.28515625" customWidth="1"/>
    <col min="2" max="2" width="4" customWidth="1"/>
    <col min="4" max="4" width="10" customWidth="1"/>
    <col min="11" max="11" width="4" customWidth="1"/>
    <col min="13" max="13" width="23.5703125" customWidth="1"/>
    <col min="14" max="14" width="12.7109375" customWidth="1"/>
    <col min="15" max="15" width="13.7109375" customWidth="1"/>
    <col min="16" max="16" width="15.28515625" customWidth="1"/>
  </cols>
  <sheetData>
    <row r="1" spans="2:14" ht="15.75" thickBot="1" x14ac:dyDescent="0.3"/>
    <row r="2" spans="2:14" ht="16.5" thickTop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</row>
    <row r="3" spans="2:14" x14ac:dyDescent="0.25">
      <c r="B3" s="16"/>
      <c r="C3" s="73" t="s">
        <v>12</v>
      </c>
      <c r="D3" s="74"/>
      <c r="E3" s="74"/>
      <c r="F3" s="74"/>
      <c r="G3" s="74"/>
      <c r="H3" s="74"/>
      <c r="I3" s="74"/>
      <c r="J3" s="75"/>
      <c r="K3" s="17"/>
    </row>
    <row r="4" spans="2:14" ht="15.75" thickBot="1" x14ac:dyDescent="0.3">
      <c r="B4" s="16"/>
      <c r="C4" s="76"/>
      <c r="D4" s="77"/>
      <c r="E4" s="77"/>
      <c r="F4" s="77"/>
      <c r="G4" s="77"/>
      <c r="H4" s="77"/>
      <c r="I4" s="77"/>
      <c r="J4" s="78"/>
      <c r="K4" s="17"/>
      <c r="M4" s="12"/>
    </row>
    <row r="5" spans="2:14" ht="16.5" thickTop="1" thickBot="1" x14ac:dyDescent="0.3">
      <c r="B5" s="16"/>
      <c r="C5" s="79"/>
      <c r="D5" s="80"/>
      <c r="E5" s="80"/>
      <c r="F5" s="80"/>
      <c r="G5" s="80"/>
      <c r="H5" s="80"/>
      <c r="I5" s="80"/>
      <c r="J5" s="81"/>
      <c r="K5" s="17"/>
      <c r="M5" s="57" t="s">
        <v>22</v>
      </c>
      <c r="N5" s="58"/>
    </row>
    <row r="6" spans="2:14" ht="15.75" thickBot="1" x14ac:dyDescent="0.3">
      <c r="B6" s="16"/>
      <c r="C6" s="18"/>
      <c r="D6" s="18"/>
      <c r="E6" s="18"/>
      <c r="F6" s="18"/>
      <c r="G6" s="18"/>
      <c r="H6" s="18"/>
      <c r="I6" s="18"/>
      <c r="J6" s="18"/>
      <c r="K6" s="17"/>
      <c r="M6" s="59">
        <f>E16/0.85</f>
        <v>12058.823529411766</v>
      </c>
      <c r="N6" s="60"/>
    </row>
    <row r="7" spans="2:14" ht="18.75" thickTop="1" thickBot="1" x14ac:dyDescent="0.35">
      <c r="B7" s="16"/>
      <c r="C7" s="82" t="s">
        <v>13</v>
      </c>
      <c r="D7" s="82"/>
      <c r="E7" s="44">
        <v>9700</v>
      </c>
      <c r="F7" s="44"/>
      <c r="G7" s="82" t="s">
        <v>1</v>
      </c>
      <c r="H7" s="82"/>
      <c r="I7" s="72">
        <v>0</v>
      </c>
      <c r="J7" s="72"/>
      <c r="K7" s="17"/>
      <c r="M7" s="61"/>
      <c r="N7" s="62"/>
    </row>
    <row r="8" spans="2:14" ht="18.75" thickTop="1" thickBot="1" x14ac:dyDescent="0.35">
      <c r="B8" s="16"/>
      <c r="C8" s="82" t="s">
        <v>23</v>
      </c>
      <c r="D8" s="82"/>
      <c r="E8" s="44">
        <v>650</v>
      </c>
      <c r="F8" s="44"/>
      <c r="G8" s="82" t="s">
        <v>11</v>
      </c>
      <c r="H8" s="82"/>
      <c r="I8" s="44">
        <v>84</v>
      </c>
      <c r="J8" s="44"/>
      <c r="K8" s="17"/>
    </row>
    <row r="9" spans="2:14" ht="18.75" thickTop="1" thickBot="1" x14ac:dyDescent="0.35">
      <c r="B9" s="16"/>
      <c r="C9" s="82" t="s">
        <v>0</v>
      </c>
      <c r="D9" s="82"/>
      <c r="E9" s="109">
        <v>0.01</v>
      </c>
      <c r="F9" s="110"/>
      <c r="G9" s="82" t="s">
        <v>5</v>
      </c>
      <c r="H9" s="82"/>
      <c r="I9" s="111">
        <v>6.7500000000000004E-2</v>
      </c>
      <c r="J9" s="111"/>
      <c r="K9" s="17"/>
    </row>
    <row r="10" spans="2:14" ht="11.25" customHeight="1" thickTop="1" thickBot="1" x14ac:dyDescent="0.35">
      <c r="B10" s="16"/>
      <c r="C10" s="19"/>
      <c r="D10" s="19"/>
      <c r="E10" s="20"/>
      <c r="F10" s="20"/>
      <c r="G10" s="19"/>
      <c r="H10" s="19"/>
      <c r="I10" s="20"/>
      <c r="J10" s="20"/>
      <c r="K10" s="17"/>
    </row>
    <row r="11" spans="2:14" ht="14.25" customHeight="1" thickTop="1" thickBot="1" x14ac:dyDescent="0.3">
      <c r="B11" s="16"/>
      <c r="C11" s="83" t="s">
        <v>20</v>
      </c>
      <c r="D11" s="84"/>
      <c r="E11" s="112">
        <v>0</v>
      </c>
      <c r="F11" s="113"/>
      <c r="G11" s="85" t="s">
        <v>21</v>
      </c>
      <c r="H11" s="86"/>
      <c r="I11" s="114">
        <v>1200</v>
      </c>
      <c r="J11" s="115"/>
      <c r="K11" s="17"/>
    </row>
    <row r="12" spans="2:14" ht="10.5" customHeight="1" thickTop="1" thickBot="1" x14ac:dyDescent="0.35">
      <c r="B12" s="16"/>
      <c r="C12" s="19"/>
      <c r="D12" s="19"/>
      <c r="E12" s="20"/>
      <c r="F12" s="20"/>
      <c r="G12" s="19"/>
      <c r="H12" s="19"/>
      <c r="I12" s="20"/>
      <c r="J12" s="20"/>
      <c r="K12" s="17"/>
    </row>
    <row r="13" spans="2:14" ht="18.75" thickTop="1" thickBot="1" x14ac:dyDescent="0.35">
      <c r="B13" s="16"/>
      <c r="C13" s="89" t="s">
        <v>5</v>
      </c>
      <c r="D13" s="89"/>
      <c r="E13" s="90">
        <f>I9</f>
        <v>6.7500000000000004E-2</v>
      </c>
      <c r="F13" s="90"/>
      <c r="G13" s="89" t="s">
        <v>6</v>
      </c>
      <c r="H13" s="89"/>
      <c r="I13" s="91">
        <f>E13*I14</f>
        <v>0.47250000000000003</v>
      </c>
      <c r="J13" s="91"/>
      <c r="K13" s="17"/>
    </row>
    <row r="14" spans="2:14" ht="18.75" thickTop="1" thickBot="1" x14ac:dyDescent="0.35">
      <c r="B14" s="16"/>
      <c r="C14" s="89" t="s">
        <v>14</v>
      </c>
      <c r="D14" s="89"/>
      <c r="E14" s="92">
        <f>E7</f>
        <v>9700</v>
      </c>
      <c r="F14" s="92"/>
      <c r="G14" s="89" t="s">
        <v>3</v>
      </c>
      <c r="H14" s="89"/>
      <c r="I14" s="92">
        <f>I15/12</f>
        <v>7</v>
      </c>
      <c r="J14" s="92"/>
      <c r="K14" s="17"/>
    </row>
    <row r="15" spans="2:14" ht="18.75" thickTop="1" thickBot="1" x14ac:dyDescent="0.35">
      <c r="B15" s="16"/>
      <c r="C15" s="89" t="s">
        <v>2</v>
      </c>
      <c r="D15" s="89"/>
      <c r="E15" s="92">
        <f>E8</f>
        <v>650</v>
      </c>
      <c r="F15" s="92"/>
      <c r="G15" s="89" t="s">
        <v>4</v>
      </c>
      <c r="H15" s="89"/>
      <c r="I15" s="92">
        <f>I8</f>
        <v>84</v>
      </c>
      <c r="J15" s="92"/>
      <c r="K15" s="17"/>
    </row>
    <row r="16" spans="2:14" ht="18.75" thickTop="1" thickBot="1" x14ac:dyDescent="0.35">
      <c r="B16" s="16"/>
      <c r="C16" s="89" t="s">
        <v>15</v>
      </c>
      <c r="D16" s="89"/>
      <c r="E16" s="92">
        <f>E7-E8+E11+I11</f>
        <v>10250</v>
      </c>
      <c r="F16" s="92"/>
      <c r="G16" s="93" t="s">
        <v>18</v>
      </c>
      <c r="H16" s="93"/>
      <c r="I16" s="92">
        <f>E16+E18</f>
        <v>15093.125</v>
      </c>
      <c r="J16" s="92"/>
      <c r="K16" s="17"/>
    </row>
    <row r="17" spans="2:11" ht="18.75" thickTop="1" thickBot="1" x14ac:dyDescent="0.35">
      <c r="B17" s="16"/>
      <c r="C17" s="94" t="s">
        <v>7</v>
      </c>
      <c r="D17" s="94"/>
      <c r="E17" s="95">
        <f>I8-I7</f>
        <v>84</v>
      </c>
      <c r="F17" s="95"/>
      <c r="G17" s="89" t="s">
        <v>8</v>
      </c>
      <c r="H17" s="89"/>
      <c r="I17" s="92">
        <f>I7</f>
        <v>0</v>
      </c>
      <c r="J17" s="92"/>
      <c r="K17" s="17"/>
    </row>
    <row r="18" spans="2:11" ht="16.5" customHeight="1" thickTop="1" thickBot="1" x14ac:dyDescent="0.3">
      <c r="B18" s="16"/>
      <c r="C18" s="101" t="s">
        <v>9</v>
      </c>
      <c r="D18" s="102"/>
      <c r="E18" s="103">
        <f>I13*E16</f>
        <v>4843.125</v>
      </c>
      <c r="F18" s="104"/>
      <c r="G18" s="101" t="s">
        <v>10</v>
      </c>
      <c r="H18" s="102"/>
      <c r="I18" s="105">
        <f>I19/E17</f>
        <v>192.25766369047619</v>
      </c>
      <c r="J18" s="106"/>
      <c r="K18" s="17"/>
    </row>
    <row r="19" spans="2:11" ht="16.5" customHeight="1" thickTop="1" thickBot="1" x14ac:dyDescent="0.3">
      <c r="B19" s="16"/>
      <c r="C19" s="101" t="s">
        <v>17</v>
      </c>
      <c r="D19" s="102"/>
      <c r="E19" s="103">
        <f>E9*I14*I16</f>
        <v>1056.5187500000002</v>
      </c>
      <c r="F19" s="104"/>
      <c r="G19" s="101" t="s">
        <v>19</v>
      </c>
      <c r="H19" s="102"/>
      <c r="I19" s="107">
        <f>I16+E19</f>
        <v>16149.643749999999</v>
      </c>
      <c r="J19" s="108"/>
      <c r="K19" s="17"/>
    </row>
    <row r="20" spans="2:11" ht="15.75" hidden="1" thickTop="1" x14ac:dyDescent="0.25">
      <c r="B20" s="16"/>
      <c r="C20" s="96" t="s">
        <v>16</v>
      </c>
      <c r="D20" s="96"/>
      <c r="E20" s="96"/>
      <c r="F20" s="96"/>
      <c r="G20" s="98">
        <f>I19+E8</f>
        <v>16799.643749999999</v>
      </c>
      <c r="H20" s="99"/>
      <c r="I20" s="99"/>
      <c r="J20" s="99"/>
      <c r="K20" s="17"/>
    </row>
    <row r="21" spans="2:11" ht="16.5" hidden="1" thickTop="1" thickBot="1" x14ac:dyDescent="0.3">
      <c r="B21" s="16"/>
      <c r="C21" s="97"/>
      <c r="D21" s="97"/>
      <c r="E21" s="97"/>
      <c r="F21" s="97"/>
      <c r="G21" s="100"/>
      <c r="H21" s="100"/>
      <c r="I21" s="100"/>
      <c r="J21" s="100"/>
      <c r="K21" s="17"/>
    </row>
    <row r="22" spans="2:11" ht="15.75" thickTop="1" x14ac:dyDescent="0.25">
      <c r="B22" s="16"/>
      <c r="C22" s="18"/>
      <c r="D22" s="18"/>
      <c r="E22" s="18"/>
      <c r="F22" s="18"/>
      <c r="G22" s="18"/>
      <c r="H22" s="18"/>
      <c r="I22" s="18"/>
      <c r="J22" s="18"/>
      <c r="K22" s="17"/>
    </row>
    <row r="23" spans="2:11" ht="15.75" thickBot="1" x14ac:dyDescent="0.3">
      <c r="B23" s="21"/>
      <c r="C23" s="22"/>
      <c r="D23" s="22"/>
      <c r="E23" s="22"/>
      <c r="F23" s="22"/>
      <c r="G23" s="22"/>
      <c r="H23" s="22"/>
      <c r="I23" s="22"/>
      <c r="J23" s="22"/>
      <c r="K23" s="23"/>
    </row>
    <row r="24" spans="2:11" ht="15.75" thickTop="1" x14ac:dyDescent="0.25"/>
  </sheetData>
  <sheetProtection algorithmName="SHA-512" hashValue="L5dMMh67kCR1eybmf+Bg5AGZsRv0VINvJ7LZSktVNs+MQuvpY7FjimauopqD0wDAYR5iE24VJ0Yn9BCx41XmJw==" saltValue="Fs6Ksva77gDynIBuYHiFBw==" spinCount="100000" sheet="1" formatCells="0" formatColumns="0" formatRows="0" insertColumns="0" insertRows="0" insertHyperlinks="0" deleteColumns="0" deleteRows="0" sort="0" autoFilter="0" pivotTables="0"/>
  <mergeCells count="49">
    <mergeCell ref="C20:F21"/>
    <mergeCell ref="G20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1:D11"/>
    <mergeCell ref="E11:F11"/>
    <mergeCell ref="G11:H11"/>
    <mergeCell ref="I11:J11"/>
    <mergeCell ref="C13:D13"/>
    <mergeCell ref="E13:F13"/>
    <mergeCell ref="G13:H13"/>
    <mergeCell ref="I13:J13"/>
    <mergeCell ref="C8:D8"/>
    <mergeCell ref="E8:F8"/>
    <mergeCell ref="G8:H8"/>
    <mergeCell ref="I8:J8"/>
    <mergeCell ref="C9:D9"/>
    <mergeCell ref="E9:F9"/>
    <mergeCell ref="G9:H9"/>
    <mergeCell ref="I9:J9"/>
    <mergeCell ref="C3:J5"/>
    <mergeCell ref="M5:N5"/>
    <mergeCell ref="M6:N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السماحة</vt:lpstr>
      <vt:lpstr>دار التمويل</vt:lpstr>
      <vt:lpstr>شركة الكوثر</vt:lpstr>
      <vt:lpstr>تمكين</vt:lpstr>
      <vt:lpstr>بندار </vt:lpstr>
      <vt:lpstr>اخرى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al kashef</dc:creator>
  <cp:lastModifiedBy>user</cp:lastModifiedBy>
  <cp:lastPrinted>2020-11-22T00:25:01Z</cp:lastPrinted>
  <dcterms:created xsi:type="dcterms:W3CDTF">2020-11-17T22:44:41Z</dcterms:created>
  <dcterms:modified xsi:type="dcterms:W3CDTF">2026-06-06T18:30:06Z</dcterms:modified>
</cp:coreProperties>
</file>