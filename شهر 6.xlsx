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500" tabRatio="757" firstSheet="2" activeTab="2"/>
  </bookViews>
  <sheets>
    <sheet name="راسمال الشركاء" sheetId="17" r:id="rId1"/>
    <sheet name="اثاث وديكورات" sheetId="21" r:id="rId2"/>
    <sheet name="التدفقات" sheetId="18" r:id="rId3"/>
    <sheet name="م. مدفوعة مقدما" sheetId="20" r:id="rId4"/>
    <sheet name="السيارات " sheetId="1" r:id="rId5"/>
    <sheet name="ادارية وعمومية" sheetId="2" r:id="rId6"/>
    <sheet name="سلف شركاء" sheetId="16" r:id="rId7"/>
    <sheet name="Sheet2" sheetId="25" r:id="rId8"/>
    <sheet name="Sheet1" sheetId="24" r:id="rId9"/>
    <sheet name="ارباح وخسائر" sheetId="3" r:id="rId10"/>
    <sheet name="كشف مركبات" sheetId="23" r:id="rId11"/>
    <sheet name="مطالبات" sheetId="22" r:id="rId12"/>
  </sheets>
  <definedNames>
    <definedName name="_xlnm._FilterDatabase" localSheetId="4" hidden="1">'السيارات '!$C$1:$C$12</definedName>
    <definedName name="_xlnm._FilterDatabase" localSheetId="3" hidden="1">'م. مدفوعة مقدما'!$A$2:$E$2</definedName>
  </definedNames>
  <calcPr calcId="144525"/>
</workbook>
</file>

<file path=xl/calcChain.xml><?xml version="1.0" encoding="utf-8"?>
<calcChain xmlns="http://schemas.openxmlformats.org/spreadsheetml/2006/main">
  <c r="A35" i="20" l="1"/>
  <c r="W123" i="1"/>
  <c r="Q124" i="1"/>
  <c r="Q125" i="1"/>
  <c r="S125" i="1" s="1"/>
  <c r="V125" i="1" s="1"/>
  <c r="S124" i="1"/>
  <c r="V124" i="1" s="1"/>
  <c r="Q123" i="1"/>
  <c r="S123" i="1" s="1"/>
  <c r="V123" i="1" s="1"/>
  <c r="R17" i="24" l="1"/>
  <c r="Q104" i="1" l="1"/>
  <c r="S104" i="1" s="1"/>
  <c r="V104" i="1" s="1"/>
  <c r="Q103" i="1" l="1"/>
  <c r="S103" i="1" s="1"/>
  <c r="V103" i="1" s="1"/>
  <c r="W7" i="1" l="1"/>
  <c r="W8" i="1"/>
  <c r="W121" i="1"/>
  <c r="W122" i="1"/>
  <c r="W126" i="1"/>
  <c r="W127" i="1"/>
  <c r="W100" i="1"/>
  <c r="W101" i="1"/>
  <c r="W102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Q97" i="1"/>
  <c r="S97" i="1" s="1"/>
  <c r="V97" i="1" s="1"/>
  <c r="Q121" i="1" l="1"/>
  <c r="S121" i="1" s="1"/>
  <c r="V121" i="1" s="1"/>
  <c r="Q119" i="1"/>
  <c r="S119" i="1" s="1"/>
  <c r="V119" i="1" s="1"/>
  <c r="Q120" i="1"/>
  <c r="S120" i="1" s="1"/>
  <c r="V120" i="1" s="1"/>
  <c r="Q90" i="1" l="1"/>
  <c r="S90" i="1" s="1"/>
  <c r="V90" i="1" s="1"/>
  <c r="Q99" i="1" l="1"/>
  <c r="S99" i="1" s="1"/>
  <c r="V99" i="1" s="1"/>
  <c r="Q91" i="1"/>
  <c r="S91" i="1" s="1"/>
  <c r="V91" i="1" s="1"/>
  <c r="Q122" i="1" l="1"/>
  <c r="S122" i="1" s="1"/>
  <c r="V122" i="1" s="1"/>
  <c r="Q126" i="1"/>
  <c r="S126" i="1" s="1"/>
  <c r="V126" i="1" s="1"/>
  <c r="Q106" i="1" l="1"/>
  <c r="S106" i="1" s="1"/>
  <c r="V106" i="1" s="1"/>
  <c r="Q127" i="1" l="1"/>
  <c r="S127" i="1" s="1"/>
  <c r="V127" i="1" s="1"/>
  <c r="Q117" i="1"/>
  <c r="S117" i="1" s="1"/>
  <c r="V117" i="1" s="1"/>
  <c r="Q118" i="1"/>
  <c r="S118" i="1" s="1"/>
  <c r="V118" i="1" s="1"/>
  <c r="J14" i="22"/>
  <c r="J13" i="22"/>
  <c r="J12" i="22"/>
  <c r="J11" i="22"/>
  <c r="J10" i="22"/>
  <c r="J9" i="22"/>
  <c r="J8" i="22"/>
  <c r="J7" i="22"/>
  <c r="J6" i="22"/>
  <c r="J5" i="22"/>
  <c r="J4" i="22"/>
  <c r="E17" i="23"/>
  <c r="B17" i="23"/>
  <c r="A17" i="23"/>
  <c r="E5" i="23"/>
  <c r="E4" i="23"/>
  <c r="Q17" i="24"/>
  <c r="P17" i="24"/>
  <c r="O17" i="24"/>
  <c r="F13" i="24"/>
  <c r="D13" i="24"/>
  <c r="C13" i="24"/>
  <c r="B13" i="24"/>
  <c r="B42" i="3"/>
  <c r="A33" i="3"/>
  <c r="A25" i="3"/>
  <c r="E33" i="16"/>
  <c r="A33" i="16"/>
  <c r="A34" i="2"/>
  <c r="D3" i="3" s="1"/>
  <c r="D25" i="3" s="1"/>
  <c r="U139" i="1"/>
  <c r="P139" i="1"/>
  <c r="O139" i="1"/>
  <c r="N139" i="1"/>
  <c r="M139" i="1"/>
  <c r="L139" i="1"/>
  <c r="J139" i="1"/>
  <c r="I139" i="1"/>
  <c r="H139" i="1"/>
  <c r="G139" i="1"/>
  <c r="F139" i="1"/>
  <c r="W139" i="1" s="1"/>
  <c r="W138" i="1"/>
  <c r="Q138" i="1"/>
  <c r="S138" i="1" s="1"/>
  <c r="V138" i="1" s="1"/>
  <c r="W137" i="1"/>
  <c r="Q137" i="1"/>
  <c r="S137" i="1" s="1"/>
  <c r="V137" i="1" s="1"/>
  <c r="W136" i="1"/>
  <c r="Q136" i="1"/>
  <c r="S136" i="1" s="1"/>
  <c r="V136" i="1" s="1"/>
  <c r="W135" i="1"/>
  <c r="Q135" i="1"/>
  <c r="S135" i="1" s="1"/>
  <c r="V135" i="1" s="1"/>
  <c r="W134" i="1"/>
  <c r="Q134" i="1"/>
  <c r="S134" i="1" s="1"/>
  <c r="V134" i="1" s="1"/>
  <c r="W133" i="1"/>
  <c r="Q133" i="1"/>
  <c r="S133" i="1" s="1"/>
  <c r="V133" i="1" s="1"/>
  <c r="W132" i="1"/>
  <c r="Q132" i="1"/>
  <c r="S132" i="1" s="1"/>
  <c r="V132" i="1" s="1"/>
  <c r="W131" i="1"/>
  <c r="Q131" i="1"/>
  <c r="S131" i="1" s="1"/>
  <c r="V131" i="1" s="1"/>
  <c r="W130" i="1"/>
  <c r="Q130" i="1"/>
  <c r="S130" i="1" s="1"/>
  <c r="V130" i="1" s="1"/>
  <c r="W129" i="1"/>
  <c r="Q129" i="1"/>
  <c r="S129" i="1" s="1"/>
  <c r="V129" i="1" s="1"/>
  <c r="W128" i="1"/>
  <c r="Q128" i="1"/>
  <c r="S128" i="1" s="1"/>
  <c r="V128" i="1" s="1"/>
  <c r="Q116" i="1"/>
  <c r="S116" i="1" s="1"/>
  <c r="V116" i="1" s="1"/>
  <c r="Q115" i="1"/>
  <c r="S115" i="1" s="1"/>
  <c r="V115" i="1" s="1"/>
  <c r="Q114" i="1"/>
  <c r="S114" i="1" s="1"/>
  <c r="V114" i="1" s="1"/>
  <c r="Q113" i="1"/>
  <c r="S113" i="1" s="1"/>
  <c r="V113" i="1" s="1"/>
  <c r="Q112" i="1"/>
  <c r="S112" i="1" s="1"/>
  <c r="V112" i="1" s="1"/>
  <c r="Q111" i="1"/>
  <c r="S111" i="1" s="1"/>
  <c r="V111" i="1" s="1"/>
  <c r="Q110" i="1"/>
  <c r="S110" i="1" s="1"/>
  <c r="V110" i="1" s="1"/>
  <c r="Q109" i="1"/>
  <c r="S109" i="1" s="1"/>
  <c r="V109" i="1" s="1"/>
  <c r="Q108" i="1"/>
  <c r="S108" i="1" s="1"/>
  <c r="V108" i="1" s="1"/>
  <c r="Q107" i="1"/>
  <c r="S107" i="1" s="1"/>
  <c r="V107" i="1" s="1"/>
  <c r="Q105" i="1"/>
  <c r="S105" i="1" s="1"/>
  <c r="V105" i="1" s="1"/>
  <c r="Q102" i="1"/>
  <c r="S102" i="1" s="1"/>
  <c r="V102" i="1" s="1"/>
  <c r="Q101" i="1"/>
  <c r="S101" i="1" s="1"/>
  <c r="V101" i="1" s="1"/>
  <c r="Q100" i="1"/>
  <c r="S100" i="1" s="1"/>
  <c r="V100" i="1" s="1"/>
  <c r="Q98" i="1"/>
  <c r="S98" i="1" s="1"/>
  <c r="V98" i="1" s="1"/>
  <c r="Q96" i="1"/>
  <c r="S96" i="1" s="1"/>
  <c r="V96" i="1" s="1"/>
  <c r="Q95" i="1"/>
  <c r="S95" i="1" s="1"/>
  <c r="V95" i="1" s="1"/>
  <c r="Q94" i="1"/>
  <c r="S94" i="1" s="1"/>
  <c r="V94" i="1" s="1"/>
  <c r="Q93" i="1"/>
  <c r="S93" i="1" s="1"/>
  <c r="V93" i="1" s="1"/>
  <c r="Q92" i="1"/>
  <c r="S92" i="1" s="1"/>
  <c r="V92" i="1" s="1"/>
  <c r="Q89" i="1"/>
  <c r="S89" i="1" s="1"/>
  <c r="V89" i="1" s="1"/>
  <c r="Q88" i="1"/>
  <c r="S88" i="1" s="1"/>
  <c r="V88" i="1" s="1"/>
  <c r="Q87" i="1"/>
  <c r="W86" i="1"/>
  <c r="Q86" i="1"/>
  <c r="S86" i="1" s="1"/>
  <c r="V86" i="1" s="1"/>
  <c r="W85" i="1"/>
  <c r="Q85" i="1"/>
  <c r="S85" i="1" s="1"/>
  <c r="V85" i="1" s="1"/>
  <c r="W84" i="1"/>
  <c r="Q84" i="1"/>
  <c r="S84" i="1" s="1"/>
  <c r="V84" i="1" s="1"/>
  <c r="W83" i="1"/>
  <c r="Q83" i="1"/>
  <c r="S83" i="1" s="1"/>
  <c r="V83" i="1" s="1"/>
  <c r="W82" i="1"/>
  <c r="Q82" i="1"/>
  <c r="S82" i="1" s="1"/>
  <c r="V82" i="1" s="1"/>
  <c r="Q81" i="1"/>
  <c r="S81" i="1" s="1"/>
  <c r="V81" i="1" s="1"/>
  <c r="W80" i="1"/>
  <c r="Q80" i="1"/>
  <c r="S80" i="1" s="1"/>
  <c r="V80" i="1" s="1"/>
  <c r="W79" i="1"/>
  <c r="Q79" i="1"/>
  <c r="S79" i="1" s="1"/>
  <c r="V79" i="1" s="1"/>
  <c r="W78" i="1"/>
  <c r="Q78" i="1"/>
  <c r="S78" i="1" s="1"/>
  <c r="V78" i="1" s="1"/>
  <c r="W77" i="1"/>
  <c r="Q77" i="1"/>
  <c r="S77" i="1" s="1"/>
  <c r="V77" i="1" s="1"/>
  <c r="W76" i="1"/>
  <c r="Q76" i="1"/>
  <c r="S76" i="1" s="1"/>
  <c r="V76" i="1" s="1"/>
  <c r="W75" i="1"/>
  <c r="Q75" i="1"/>
  <c r="S75" i="1" s="1"/>
  <c r="V75" i="1" s="1"/>
  <c r="W74" i="1"/>
  <c r="Q74" i="1"/>
  <c r="S74" i="1" s="1"/>
  <c r="V74" i="1" s="1"/>
  <c r="W73" i="1"/>
  <c r="Q73" i="1"/>
  <c r="S73" i="1" s="1"/>
  <c r="V73" i="1" s="1"/>
  <c r="W72" i="1"/>
  <c r="Q72" i="1"/>
  <c r="S72" i="1" s="1"/>
  <c r="V72" i="1" s="1"/>
  <c r="W71" i="1"/>
  <c r="Q71" i="1"/>
  <c r="S71" i="1" s="1"/>
  <c r="V71" i="1" s="1"/>
  <c r="W70" i="1"/>
  <c r="Q70" i="1"/>
  <c r="S70" i="1" s="1"/>
  <c r="V70" i="1" s="1"/>
  <c r="W69" i="1"/>
  <c r="Q69" i="1"/>
  <c r="S69" i="1" s="1"/>
  <c r="V69" i="1" s="1"/>
  <c r="W68" i="1"/>
  <c r="Q68" i="1"/>
  <c r="S68" i="1" s="1"/>
  <c r="V68" i="1" s="1"/>
  <c r="W67" i="1"/>
  <c r="Q67" i="1"/>
  <c r="S67" i="1" s="1"/>
  <c r="V67" i="1" s="1"/>
  <c r="W66" i="1"/>
  <c r="Q66" i="1"/>
  <c r="S66" i="1" s="1"/>
  <c r="V66" i="1" s="1"/>
  <c r="W65" i="1"/>
  <c r="Q65" i="1"/>
  <c r="S65" i="1" s="1"/>
  <c r="V65" i="1" s="1"/>
  <c r="Q64" i="1"/>
  <c r="S64" i="1" s="1"/>
  <c r="V64" i="1" s="1"/>
  <c r="W63" i="1"/>
  <c r="Q63" i="1"/>
  <c r="S63" i="1" s="1"/>
  <c r="V63" i="1" s="1"/>
  <c r="W62" i="1"/>
  <c r="Q62" i="1"/>
  <c r="S62" i="1" s="1"/>
  <c r="V62" i="1" s="1"/>
  <c r="W61" i="1"/>
  <c r="Q61" i="1"/>
  <c r="S61" i="1" s="1"/>
  <c r="V61" i="1" s="1"/>
  <c r="W60" i="1"/>
  <c r="Q60" i="1"/>
  <c r="S60" i="1" s="1"/>
  <c r="V60" i="1" s="1"/>
  <c r="W59" i="1"/>
  <c r="Q59" i="1"/>
  <c r="S59" i="1" s="1"/>
  <c r="V59" i="1" s="1"/>
  <c r="W58" i="1"/>
  <c r="Q58" i="1"/>
  <c r="S58" i="1" s="1"/>
  <c r="V58" i="1" s="1"/>
  <c r="W57" i="1"/>
  <c r="Q57" i="1"/>
  <c r="S57" i="1" s="1"/>
  <c r="V57" i="1" s="1"/>
  <c r="W56" i="1"/>
  <c r="Q56" i="1"/>
  <c r="S56" i="1" s="1"/>
  <c r="V56" i="1" s="1"/>
  <c r="W55" i="1"/>
  <c r="Q55" i="1"/>
  <c r="S55" i="1" s="1"/>
  <c r="V55" i="1" s="1"/>
  <c r="Q54" i="1"/>
  <c r="S54" i="1" s="1"/>
  <c r="V54" i="1" s="1"/>
  <c r="W53" i="1"/>
  <c r="Q53" i="1"/>
  <c r="S53" i="1" s="1"/>
  <c r="V53" i="1" s="1"/>
  <c r="W52" i="1"/>
  <c r="Q52" i="1"/>
  <c r="S52" i="1" s="1"/>
  <c r="V52" i="1" s="1"/>
  <c r="W51" i="1"/>
  <c r="Q51" i="1"/>
  <c r="S51" i="1" s="1"/>
  <c r="V51" i="1" s="1"/>
  <c r="W50" i="1"/>
  <c r="Q50" i="1"/>
  <c r="S50" i="1" s="1"/>
  <c r="V50" i="1" s="1"/>
  <c r="W49" i="1"/>
  <c r="Q49" i="1"/>
  <c r="S49" i="1" s="1"/>
  <c r="V49" i="1" s="1"/>
  <c r="W48" i="1"/>
  <c r="Q48" i="1"/>
  <c r="S48" i="1" s="1"/>
  <c r="V48" i="1" s="1"/>
  <c r="W47" i="1"/>
  <c r="Q47" i="1"/>
  <c r="S47" i="1" s="1"/>
  <c r="V47" i="1" s="1"/>
  <c r="W46" i="1"/>
  <c r="Q46" i="1"/>
  <c r="S46" i="1" s="1"/>
  <c r="V46" i="1" s="1"/>
  <c r="W45" i="1"/>
  <c r="Q45" i="1"/>
  <c r="S45" i="1" s="1"/>
  <c r="V45" i="1" s="1"/>
  <c r="W44" i="1"/>
  <c r="Q44" i="1"/>
  <c r="S44" i="1" s="1"/>
  <c r="V44" i="1" s="1"/>
  <c r="W43" i="1"/>
  <c r="Q43" i="1"/>
  <c r="S43" i="1" s="1"/>
  <c r="V43" i="1" s="1"/>
  <c r="W42" i="1"/>
  <c r="Q42" i="1"/>
  <c r="S42" i="1" s="1"/>
  <c r="V42" i="1" s="1"/>
  <c r="W41" i="1"/>
  <c r="Q41" i="1"/>
  <c r="S41" i="1" s="1"/>
  <c r="V41" i="1" s="1"/>
  <c r="W40" i="1"/>
  <c r="Q40" i="1"/>
  <c r="S40" i="1" s="1"/>
  <c r="V40" i="1" s="1"/>
  <c r="W39" i="1"/>
  <c r="Q39" i="1"/>
  <c r="S39" i="1" s="1"/>
  <c r="V39" i="1" s="1"/>
  <c r="W38" i="1"/>
  <c r="Q38" i="1"/>
  <c r="S38" i="1" s="1"/>
  <c r="V38" i="1" s="1"/>
  <c r="W37" i="1"/>
  <c r="Q37" i="1"/>
  <c r="S37" i="1" s="1"/>
  <c r="V37" i="1" s="1"/>
  <c r="W36" i="1"/>
  <c r="Q36" i="1"/>
  <c r="S36" i="1" s="1"/>
  <c r="V36" i="1" s="1"/>
  <c r="W35" i="1"/>
  <c r="Q35" i="1"/>
  <c r="S35" i="1" s="1"/>
  <c r="V35" i="1" s="1"/>
  <c r="W34" i="1"/>
  <c r="Q34" i="1"/>
  <c r="S34" i="1" s="1"/>
  <c r="V34" i="1" s="1"/>
  <c r="W33" i="1"/>
  <c r="Q33" i="1"/>
  <c r="S33" i="1" s="1"/>
  <c r="V33" i="1" s="1"/>
  <c r="W32" i="1"/>
  <c r="Q32" i="1"/>
  <c r="S32" i="1" s="1"/>
  <c r="V32" i="1" s="1"/>
  <c r="W31" i="1"/>
  <c r="Q31" i="1"/>
  <c r="S31" i="1" s="1"/>
  <c r="V31" i="1" s="1"/>
  <c r="W30" i="1"/>
  <c r="Q30" i="1"/>
  <c r="S30" i="1" s="1"/>
  <c r="V30" i="1" s="1"/>
  <c r="W29" i="1"/>
  <c r="Q29" i="1"/>
  <c r="S29" i="1" s="1"/>
  <c r="V29" i="1" s="1"/>
  <c r="W28" i="1"/>
  <c r="Q28" i="1"/>
  <c r="S28" i="1" s="1"/>
  <c r="V28" i="1" s="1"/>
  <c r="W27" i="1"/>
  <c r="Q27" i="1"/>
  <c r="S27" i="1" s="1"/>
  <c r="V27" i="1" s="1"/>
  <c r="W26" i="1"/>
  <c r="Q26" i="1"/>
  <c r="S26" i="1" s="1"/>
  <c r="V26" i="1" s="1"/>
  <c r="W25" i="1"/>
  <c r="Q25" i="1"/>
  <c r="S25" i="1" s="1"/>
  <c r="V25" i="1" s="1"/>
  <c r="W24" i="1"/>
  <c r="Q24" i="1"/>
  <c r="S24" i="1" s="1"/>
  <c r="V24" i="1" s="1"/>
  <c r="W23" i="1"/>
  <c r="Q23" i="1"/>
  <c r="S23" i="1" s="1"/>
  <c r="V23" i="1" s="1"/>
  <c r="W22" i="1"/>
  <c r="Q22" i="1"/>
  <c r="S22" i="1" s="1"/>
  <c r="V22" i="1" s="1"/>
  <c r="W21" i="1"/>
  <c r="Q21" i="1"/>
  <c r="S21" i="1" s="1"/>
  <c r="V21" i="1" s="1"/>
  <c r="W20" i="1"/>
  <c r="Q20" i="1"/>
  <c r="S20" i="1" s="1"/>
  <c r="V20" i="1" s="1"/>
  <c r="W19" i="1"/>
  <c r="Q19" i="1"/>
  <c r="S19" i="1" s="1"/>
  <c r="V19" i="1" s="1"/>
  <c r="Q18" i="1"/>
  <c r="S18" i="1" s="1"/>
  <c r="V18" i="1" s="1"/>
  <c r="W17" i="1"/>
  <c r="Q17" i="1"/>
  <c r="S17" i="1" s="1"/>
  <c r="V17" i="1" s="1"/>
  <c r="W16" i="1"/>
  <c r="Q16" i="1"/>
  <c r="S16" i="1" s="1"/>
  <c r="V16" i="1" s="1"/>
  <c r="W15" i="1"/>
  <c r="Q15" i="1"/>
  <c r="S15" i="1" s="1"/>
  <c r="V15" i="1" s="1"/>
  <c r="W14" i="1"/>
  <c r="Q14" i="1"/>
  <c r="S14" i="1" s="1"/>
  <c r="V14" i="1" s="1"/>
  <c r="W13" i="1"/>
  <c r="Q13" i="1"/>
  <c r="S13" i="1" s="1"/>
  <c r="V13" i="1" s="1"/>
  <c r="W12" i="1"/>
  <c r="Q12" i="1"/>
  <c r="S12" i="1" s="1"/>
  <c r="V12" i="1" s="1"/>
  <c r="W11" i="1"/>
  <c r="Q11" i="1"/>
  <c r="S11" i="1" s="1"/>
  <c r="V11" i="1" s="1"/>
  <c r="W10" i="1"/>
  <c r="Q10" i="1"/>
  <c r="S10" i="1" s="1"/>
  <c r="V10" i="1" s="1"/>
  <c r="W9" i="1"/>
  <c r="Q9" i="1"/>
  <c r="S9" i="1" s="1"/>
  <c r="V9" i="1" s="1"/>
  <c r="Q8" i="1"/>
  <c r="S8" i="1" s="1"/>
  <c r="V8" i="1" s="1"/>
  <c r="Q7" i="1"/>
  <c r="S7" i="1" s="1"/>
  <c r="V7" i="1" s="1"/>
  <c r="W6" i="1"/>
  <c r="Q6" i="1"/>
  <c r="S6" i="1" s="1"/>
  <c r="V6" i="1" s="1"/>
  <c r="W5" i="1"/>
  <c r="Q5" i="1"/>
  <c r="S5" i="1" s="1"/>
  <c r="V5" i="1" s="1"/>
  <c r="W4" i="1"/>
  <c r="Q4" i="1"/>
  <c r="S4" i="1" s="1"/>
  <c r="V4" i="1" s="1"/>
  <c r="W3" i="1"/>
  <c r="Q3" i="1"/>
  <c r="S3" i="1" s="1"/>
  <c r="V3" i="1" s="1"/>
  <c r="Q2" i="1"/>
  <c r="G123" i="18"/>
  <c r="B123" i="18"/>
  <c r="B21" i="21"/>
  <c r="B20" i="21"/>
  <c r="A20" i="21"/>
  <c r="B5" i="17"/>
  <c r="S87" i="1" l="1"/>
  <c r="V87" i="1" s="1"/>
  <c r="K6" i="18"/>
  <c r="A26" i="3"/>
  <c r="Q139" i="1"/>
  <c r="S2" i="1"/>
  <c r="V2" i="1" l="1"/>
  <c r="V139" i="1" s="1"/>
  <c r="S139" i="1"/>
</calcChain>
</file>

<file path=xl/comments1.xml><?xml version="1.0" encoding="utf-8"?>
<comments xmlns="http://schemas.openxmlformats.org/spreadsheetml/2006/main">
  <authors>
    <author>NTC</author>
  </authors>
  <commentList>
    <comment ref="B2" authorId="0">
      <text>
        <r>
          <rPr>
            <b/>
            <sz val="9"/>
            <rFont val="Tahoma"/>
            <charset val="134"/>
          </rPr>
          <t xml:space="preserve">
</t>
        </r>
      </text>
    </comment>
    <comment ref="B3" authorId="0">
      <text>
        <r>
          <rPr>
            <b/>
            <sz val="9"/>
            <rFont val="Tahoma"/>
            <charset val="134"/>
          </rPr>
          <t>NTC:</t>
        </r>
        <r>
          <rPr>
            <sz val="9"/>
            <rFont val="Tahoma"/>
            <charset val="134"/>
          </rPr>
          <t xml:space="preserve">
غير مدفوع</t>
        </r>
      </text>
    </comment>
    <comment ref="B4" authorId="0">
      <text>
        <r>
          <rPr>
            <b/>
            <sz val="9"/>
            <rFont val="Tahoma"/>
            <charset val="134"/>
          </rPr>
          <t>NTC:</t>
        </r>
        <r>
          <rPr>
            <sz val="9"/>
            <rFont val="Tahoma"/>
            <charset val="134"/>
          </rPr>
          <t xml:space="preserve">
غير مدفوع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F19" authorId="0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غير مكلفة على السيارة </t>
        </r>
      </text>
    </comment>
    <comment ref="F66" authorId="0">
      <text>
        <r>
          <rPr>
            <b/>
            <sz val="9"/>
            <color indexed="81"/>
            <rFont val="Tahoma"/>
          </rPr>
          <t>user:
مدفوعة مقدما</t>
        </r>
      </text>
    </comment>
  </commentList>
</comments>
</file>

<file path=xl/comments3.xml><?xml version="1.0" encoding="utf-8"?>
<comments xmlns="http://schemas.openxmlformats.org/spreadsheetml/2006/main">
  <authors>
    <author>shada jamal</author>
    <author>user</author>
  </authors>
  <commentList>
    <comment ref="H2" authorId="0">
      <text>
        <r>
          <rPr>
            <b/>
            <sz val="9"/>
            <rFont val="Tahoma"/>
            <charset val="134"/>
          </rPr>
          <t>shada jamal:</t>
        </r>
        <r>
          <rPr>
            <sz val="9"/>
            <rFont val="Tahoma"/>
            <charset val="134"/>
          </rPr>
          <t xml:space="preserve">
تنظيف</t>
        </r>
      </text>
    </comment>
    <comment ref="I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وتخمين الشريف 130
5فحص كمبيوتر </t>
        </r>
      </text>
    </comment>
    <comment ref="J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تنازل 103
مستور وصرف شيك 60
نقل تأمين ضد الغير 15</t>
        </r>
      </text>
    </comment>
    <comment ref="L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شحن سريع 3
2.5 تكسي ماركا مكتب </t>
        </r>
      </text>
    </comment>
    <comment ref="O2" authorId="0">
      <text>
        <r>
          <rPr>
            <b/>
            <sz val="9"/>
            <rFont val="Tahoma"/>
            <charset val="134"/>
          </rPr>
          <t>shada jamal:</t>
        </r>
        <r>
          <rPr>
            <sz val="9"/>
            <rFont val="Tahoma"/>
            <charset val="134"/>
          </rPr>
          <t xml:space="preserve">
اكرامية</t>
        </r>
      </text>
    </comment>
    <comment ref="H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12 فولت 
</t>
        </r>
      </text>
    </comment>
    <comment ref="O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
غسيل وبوليش
</t>
        </r>
      </text>
    </comment>
    <comment ref="J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تنازل ورهم 135
صرف شيك 60
نقل تأمين 15</t>
        </r>
      </text>
    </comment>
    <comment ref="N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تكسي وباص سريع
</t>
        </r>
      </text>
    </comment>
    <comment ref="F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13500 </t>
        </r>
      </text>
    </comment>
    <comment ref="G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
</t>
        </r>
      </text>
    </comment>
    <comment ref="H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 بطارية 12 فولت 30 
برمجة ريموت 10</t>
        </r>
      </text>
    </comment>
    <comment ref="J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بدل بطاقة مستورد </t>
        </r>
      </text>
    </comment>
    <comment ref="N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تكسي من ماركا ل طبربور</t>
        </r>
      </text>
    </comment>
    <comment ref="O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</t>
        </r>
      </text>
    </comment>
    <comment ref="O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وتنظيف زجاج  </t>
        </r>
      </text>
    </comment>
    <comment ref="P7" authorId="1">
      <text>
        <r>
          <rPr>
            <b/>
            <sz val="9"/>
            <rFont val="Tahoma"/>
            <charset val="134"/>
          </rPr>
          <t xml:space="preserve">user
مؤمن 
</t>
        </r>
      </text>
    </comment>
    <comment ref="H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1.5
5 غسيل و بنشر </t>
        </r>
      </text>
    </comment>
    <comment ref="L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شحن سريع</t>
        </r>
      </text>
    </comment>
    <comment ref="O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نواف 10
60  نقطة شحن</t>
        </r>
      </text>
    </comment>
    <comment ref="P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85عبادة 
25تنفيذ مجالي </t>
        </r>
      </text>
    </comment>
    <comment ref="H1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6 شحن سريع 
20 شحن متنقل 
</t>
        </r>
      </text>
    </comment>
    <comment ref="O1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نواف </t>
        </r>
      </text>
    </comment>
    <comment ref="O1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نواف 10
دراي كلين 10
20 مخالفة سير </t>
        </r>
      </text>
    </comment>
    <comment ref="P1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عباده</t>
        </r>
      </text>
    </comment>
    <comment ref="H1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</t>
        </r>
      </text>
    </comment>
    <comment ref="I1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125فحص تقني 
20 ادهم 
100</t>
        </r>
      </text>
    </comment>
    <comment ref="L1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شحن سيارة اي تو للذهاب الى الحرة </t>
        </r>
      </text>
    </comment>
    <comment ref="O1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تعديل طارة \
5 اكرامية 
11 تنظيف زجاج وغسيل</t>
        </r>
      </text>
    </comment>
    <comment ref="P1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 </t>
        </r>
      </text>
    </comment>
    <comment ref="I13" authorId="1">
      <text>
        <r>
          <rPr>
            <b/>
            <sz val="9"/>
            <rFont val="Tahoma"/>
            <charset val="134"/>
          </rPr>
          <t xml:space="preserve">user:
فحص وتخيمن الطيراوي 70
35 كارسير </t>
        </r>
      </text>
    </comment>
    <comment ref="O1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 اكرامية 
3 غسيل 
60 نقطة شحن</t>
        </r>
      </text>
    </comment>
    <comment ref="P1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</t>
        </r>
      </text>
    </comment>
    <comment ref="H1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 تنظيف زجاج 
2 بطارية ريموت </t>
        </r>
      </text>
    </comment>
    <comment ref="I1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110 تقني 
35 كارسير </t>
        </r>
      </text>
    </comment>
    <comment ref="O1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غسيل3
6 شحن سريع
100 بدل كوشوك ونقطة شحن
7 ارضيات</t>
        </r>
      </text>
    </comment>
    <comment ref="I1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 فحص شراء 
80 فحص بيع صقري</t>
        </r>
      </text>
    </comment>
    <comment ref="J1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110 تنازل اول 
161 تنازل ثاني </t>
        </r>
      </text>
    </comment>
    <comment ref="P1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386 حصة مؤمن ربح 50%
100 عمولة بيع مؤمن</t>
        </r>
      </text>
    </comment>
    <comment ref="H1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fب25 طارية  12 فولت
5 فلتر مكيف 
10 تظليل
32 كوشوك </t>
        </r>
      </text>
    </comment>
    <comment ref="O1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3
20 مخالفة </t>
        </r>
      </text>
    </comment>
    <comment ref="H1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تنظيف زجاج و تظليل10
50 ترجيع عداد 
8 كوشوك
75 صيانة نخبة الابداع
3 تنظيف ضو</t>
        </r>
      </text>
    </comment>
    <comment ref="O1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
</t>
        </r>
      </text>
    </comment>
    <comment ref="O1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</t>
        </r>
      </text>
    </comment>
    <comment ref="P1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
</t>
        </r>
      </text>
    </comment>
    <comment ref="O2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</t>
        </r>
      </text>
    </comment>
    <comment ref="P2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I2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30 فحص شرا 
80 فحص بيع </t>
        </r>
      </text>
    </comment>
    <comment ref="J2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152 تنازل ورهن 
5 معاملة 
103 تنازل شراء 
15 نقل تأمين </t>
        </r>
      </text>
    </comment>
    <comment ref="K2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152 تنازل ورهن 
5 معاملة 
15 نقل تأمين </t>
        </r>
      </text>
    </comment>
    <comment ref="O2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تكسي 2.5
5 غسيل </t>
        </r>
      </text>
    </comment>
    <comment ref="P2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H2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12 فولت 
مساحات </t>
        </r>
      </text>
    </comment>
    <comment ref="H2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كمبوتر - صيانة مكيف 5
10 تظليل
3 بنشر 
30 بطارية 12 فولت</t>
        </r>
      </text>
    </comment>
    <comment ref="O2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4 غسيل 
6 اكرامية 
11 منفاخ وارضيات 
60 نقطة شحن </t>
        </r>
      </text>
    </comment>
    <comment ref="P2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</t>
        </r>
      </text>
    </comment>
    <comment ref="H24" authorId="1">
      <text>
        <r>
          <rPr>
            <b/>
            <sz val="9"/>
            <rFont val="Tahoma"/>
            <charset val="134"/>
          </rPr>
          <t>بطارية 12 فولت</t>
        </r>
      </text>
    </comment>
    <comment ref="H2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تصليح ضو 30
45 طارة وبطارية 12 فولت</t>
        </r>
      </text>
    </comment>
    <comment ref="I2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 فحص شراء
80 فحص بيع</t>
        </r>
      </text>
    </comment>
    <comment ref="G2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</t>
        </r>
      </text>
    </comment>
    <comment ref="O2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اكرامية10
</t>
        </r>
      </text>
    </comment>
    <comment ref="O2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خصم بدل ترخيص 50
175 كفالة </t>
        </r>
      </text>
    </comment>
    <comment ref="P2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</t>
        </r>
      </text>
    </comment>
    <comment ref="P2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O2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5
2 غسيل</t>
        </r>
      </text>
    </comment>
    <comment ref="P2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O3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5
منفاخ وارضية 11</t>
        </r>
      </text>
    </comment>
    <comment ref="G3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ضو </t>
        </r>
      </text>
    </comment>
    <comment ref="H3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3/شحن 10 سريع 27/7/2025  10  
30 ترجيع عداد.
10 تظليل</t>
        </r>
      </text>
    </comment>
    <comment ref="O3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نقطة شحن </t>
        </r>
      </text>
    </comment>
    <comment ref="P3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N3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محمد العراقي</t>
        </r>
      </text>
    </comment>
    <comment ref="O3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كفالة</t>
        </r>
      </text>
    </comment>
    <comment ref="P3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15 بكر 
15 عبادة </t>
        </r>
      </text>
    </comment>
    <comment ref="I3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وتخمين </t>
        </r>
      </text>
    </comment>
    <comment ref="N3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توصيل عباده</t>
        </r>
      </text>
    </comment>
    <comment ref="O3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3
5 مواصلات </t>
        </r>
      </text>
    </comment>
    <comment ref="P3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</t>
        </r>
      </text>
    </comment>
    <comment ref="O3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</t>
        </r>
      </text>
    </comment>
    <comment ref="P3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 100
مؤنس 100
</t>
        </r>
      </text>
    </comment>
    <comment ref="H3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15 اصلاح فرش 
10 تظليل</t>
        </r>
      </text>
    </comment>
    <comment ref="N3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توصيل </t>
        </r>
      </text>
    </comment>
    <comment ref="O3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اكرامية5
60 نقطة شحن</t>
        </r>
      </text>
    </comment>
    <comment ref="P3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عمولة بكر</t>
        </r>
      </text>
    </comment>
    <comment ref="N3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توصيل عبادة </t>
        </r>
      </text>
    </comment>
    <comment ref="P3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G3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رفع اس او اتش الصافوطي</t>
        </r>
      </text>
    </comment>
    <comment ref="H3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12 فولت 5/1/2026 30
28 مصاريف سونج بلس و لافيدا 2019 عماد القضاة 
</t>
        </r>
      </text>
    </comment>
    <comment ref="I3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الطيراوي 30
70 فحص شريف 
10 ادهم </t>
        </r>
      </text>
    </comment>
    <comment ref="L3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شحن اي ثري 15
15 شحن فيات </t>
        </r>
      </text>
    </comment>
    <comment ref="P37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عبادة</t>
        </r>
      </text>
    </comment>
    <comment ref="H3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 تظليل
30 بطارية 12 فولت 
5 تصليح ريموت</t>
        </r>
      </text>
    </comment>
    <comment ref="I3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تقني وكارسير </t>
        </r>
      </text>
    </comment>
    <comment ref="J3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35 مخالفة 
60 مستورد 
99 تنازل </t>
        </r>
      </text>
    </comment>
    <comment ref="N3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توصيل عباده</t>
        </r>
      </text>
    </comment>
    <comment ref="O3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5
3 غسيل </t>
        </r>
      </text>
    </comment>
    <comment ref="P3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H3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تظليل11
5 شحن 
10 فتح - بطارية نازلة </t>
        </r>
      </text>
    </comment>
    <comment ref="O3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5اكرامية 
4غسيل 
11 منفاخ وارضية </t>
        </r>
      </text>
    </comment>
    <comment ref="H4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كوشوك </t>
        </r>
      </text>
    </comment>
    <comment ref="H4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ليب </t>
        </r>
      </text>
    </comment>
    <comment ref="N4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احمد خليفات</t>
        </r>
      </text>
    </comment>
    <comment ref="O4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3
60 تركيب نقطة شحن</t>
        </r>
      </text>
    </comment>
    <comment ref="H4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زرفيل </t>
        </r>
      </text>
    </comment>
    <comment ref="O4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 اكرامية 
5 صيانة</t>
        </r>
      </text>
    </comment>
    <comment ref="L4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بنزين
</t>
        </r>
      </text>
    </comment>
    <comment ref="N4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توصيل عبادة </t>
        </r>
      </text>
    </comment>
    <comment ref="O4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 اكرامية 
13 ترجيع للشركة </t>
        </r>
      </text>
    </comment>
    <comment ref="P4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25 تنفيذ عباده
100 عمولة بيع معن</t>
        </r>
      </text>
    </comment>
    <comment ref="N4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توصيل مؤمن </t>
        </r>
      </text>
    </comment>
    <comment ref="P4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</t>
        </r>
      </text>
    </comment>
    <comment ref="H4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12 فولت</t>
        </r>
      </text>
    </comment>
    <comment ref="J4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100 تنازل شراء 
153 تنازل بيع </t>
        </r>
      </text>
    </comment>
    <comment ref="O4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منفاخ وارضية 11
8 شحن سريع </t>
        </r>
      </text>
    </comment>
    <comment ref="P4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عبد</t>
        </r>
      </text>
    </comment>
    <comment ref="L46" authorId="1">
      <text>
        <r>
          <rPr>
            <b/>
            <sz val="9"/>
            <rFont val="Tahoma"/>
            <charset val="134"/>
          </rPr>
          <t xml:space="preserve">user:نقطة شحن 
</t>
        </r>
      </text>
    </comment>
    <comment ref="N4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</t>
        </r>
      </text>
    </comment>
    <comment ref="O4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P4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تنفيذ عباده</t>
        </r>
      </text>
    </comment>
    <comment ref="P4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 </t>
        </r>
      </text>
    </comment>
    <comment ref="F48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تم تعديل السعر من قبل احمد الخليفات </t>
        </r>
      </text>
    </comment>
    <comment ref="H4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</t>
        </r>
      </text>
    </comment>
    <comment ref="N4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P48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عبادة 135
25 تنفيذ</t>
        </r>
      </text>
    </comment>
    <comment ref="P4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H5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</t>
        </r>
      </text>
    </comment>
    <comment ref="I5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كارسير </t>
        </r>
      </text>
    </comment>
    <comment ref="N5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توصيل بكر</t>
        </r>
      </text>
    </comment>
    <comment ref="O5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P5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 </t>
        </r>
      </text>
    </comment>
    <comment ref="O5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عمولة بهاء</t>
        </r>
      </text>
    </comment>
    <comment ref="P5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عمولة بكر 15
مؤمن 15
</t>
        </r>
      </text>
    </comment>
    <comment ref="H52" authorId="1">
      <text>
        <r>
          <rPr>
            <b/>
            <sz val="9"/>
            <rFont val="Tahoma"/>
            <charset val="134"/>
          </rPr>
          <t xml:space="preserve">user:بوليش 
</t>
        </r>
      </text>
    </comment>
    <comment ref="O5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</t>
        </r>
      </text>
    </comment>
    <comment ref="O5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3 غسيل 
15 بدل تركيب نقطة شحن</t>
        </r>
      </text>
    </comment>
    <comment ref="P5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P5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I5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80 فحص صقري
50 فحص صافوطي </t>
        </r>
      </text>
    </comment>
    <comment ref="O5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شحن سريع </t>
        </r>
      </text>
    </comment>
    <comment ref="J5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50 مخالفة 
164 تنازل</t>
        </r>
      </text>
    </comment>
    <comment ref="O5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P5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O5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</t>
        </r>
      </text>
    </comment>
    <comment ref="H5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</t>
        </r>
      </text>
    </comment>
    <comment ref="N5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</t>
        </r>
      </text>
    </comment>
    <comment ref="O5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منفاخ وارضية 10
2 معطر سيارات
60 نقطة شحن 
3 غسيل</t>
        </r>
      </text>
    </comment>
    <comment ref="P5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عبد
</t>
        </r>
      </text>
    </comment>
    <comment ref="J5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 تنازل ورهن 
75 صرف شيك ونقل تأمين ومعاملة 
</t>
        </r>
      </text>
    </comment>
    <comment ref="M5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تم تحوليها للزبون 
</t>
        </r>
      </text>
    </comment>
    <comment ref="O5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بنزين 10
3 تكسي
</t>
        </r>
      </text>
    </comment>
    <comment ref="P5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عبد</t>
        </r>
      </text>
    </comment>
    <comment ref="H6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غسيل3
2 بنشر
12.5 تظليل </t>
        </r>
      </text>
    </comment>
    <comment ref="O6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6 اكارمية 
60 نقطة شحن </t>
        </r>
      </text>
    </comment>
    <comment ref="P6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</t>
        </r>
      </text>
    </comment>
    <comment ref="I6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80 فحص 
10 ادهم </t>
        </r>
      </text>
    </comment>
    <comment ref="O61" authorId="1">
      <text>
        <r>
          <rPr>
            <b/>
            <sz val="9"/>
            <rFont val="Times New Roman"/>
          </rPr>
          <t>user:</t>
        </r>
        <r>
          <rPr>
            <sz val="9"/>
            <rFont val="Times New Roman"/>
          </rPr>
          <t xml:space="preserve">
200 كفالة 
6 اكرامية </t>
        </r>
      </text>
    </comment>
    <comment ref="P6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 85
25 عبادة تنفيذ وفحص</t>
        </r>
      </text>
    </comment>
    <comment ref="G6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فتح سيارة من كهربائي </t>
        </r>
      </text>
    </comment>
    <comment ref="H6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و صيانة </t>
        </r>
      </text>
    </comment>
    <comment ref="I6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 80 فحص صقري 
فحص صقري فيراني 80</t>
        </r>
      </text>
    </comment>
    <comment ref="J6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 مخالفة 
230 تنازل ورهن ومستورد </t>
        </r>
      </text>
    </comment>
    <comment ref="K6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</text>
    </comment>
    <comment ref="N6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طوابع </t>
        </r>
      </text>
    </comment>
    <comment ref="O6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</t>
        </r>
      </text>
    </comment>
    <comment ref="P6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 </t>
        </r>
      </text>
    </comment>
    <comment ref="H6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تنظيف زجاج</t>
        </r>
      </text>
    </comment>
    <comment ref="O6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3
6 اكراميه</t>
        </r>
      </text>
    </comment>
    <comment ref="O6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</t>
        </r>
      </text>
    </comment>
    <comment ref="P6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عبد</t>
        </r>
      </text>
    </comment>
    <comment ref="G6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فتح سيارة </t>
        </r>
      </text>
    </comment>
    <comment ref="H6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تنظيف زجاج15
10 مساحات
35 بطارية 12 فولت</t>
        </r>
      </text>
    </comment>
    <comment ref="O6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 اكرامية 6
غسيل 3
</t>
        </r>
      </text>
    </comment>
    <comment ref="J6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115 تنازل شراء ونقل تأمين 
195 تنازل بيع ونقل تأمين ورهن </t>
        </r>
      </text>
    </comment>
    <comment ref="O6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</t>
        </r>
      </text>
    </comment>
    <comment ref="P6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عباده 
</t>
        </r>
      </text>
    </comment>
    <comment ref="P6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25تنفيذ  مؤمن 
 عمولة بيع 50 عبادة </t>
        </r>
      </text>
    </comment>
    <comment ref="H6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تركيب شاشة </t>
        </r>
      </text>
    </comment>
    <comment ref="O6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3
اضوية  4
11 منفاخ وارضيات 
ميزان 5
</t>
        </r>
      </text>
    </comment>
    <comment ref="P6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H6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تظليل </t>
        </r>
      </text>
    </comment>
    <comment ref="I6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25 فحص شراء 
50 فحص بيع
</t>
        </r>
      </text>
    </comment>
    <comment ref="O6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 5اكرامية 
35 شاحن 
</t>
        </r>
      </text>
    </comment>
    <comment ref="P6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H7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12 تظليل 
9 غسيل </t>
        </r>
      </text>
    </comment>
    <comment ref="I7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شريف </t>
        </r>
      </text>
    </comment>
    <comment ref="O7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تصليح طمبون امامي </t>
        </r>
      </text>
    </comment>
    <comment ref="P7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75
25 فحص مؤمن 
</t>
        </r>
      </text>
    </comment>
    <comment ref="Q7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اكرايمة </t>
        </r>
      </text>
    </comment>
    <comment ref="O7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 اكرامية 
3 تكسي عودة من ماركا عبادة</t>
        </r>
      </text>
    </comment>
    <comment ref="P7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</t>
        </r>
      </text>
    </comment>
    <comment ref="Q7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اكرايمة </t>
        </r>
      </text>
    </comment>
    <comment ref="O7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34اغراض نقطة شحن 
5 تكسي من دار التمويل 
</t>
        </r>
      </text>
    </comment>
    <comment ref="P7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</t>
        </r>
      </text>
    </comment>
    <comment ref="H7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بطارية ريموت </t>
        </r>
      </text>
    </comment>
    <comment ref="Q7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G7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 كوشوك
5شحن</t>
        </r>
      </text>
    </comment>
    <comment ref="H7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</text>
    </comment>
    <comment ref="L7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تنازل ونقل تأمين و مخالفة 
10
15
192
3 مشروحات</t>
        </r>
      </text>
    </comment>
    <comment ref="P7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O7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نقطة شحن </t>
        </r>
      </text>
    </comment>
    <comment ref="J76" authorId="1">
      <text>
        <r>
          <rPr>
            <b/>
            <sz val="9"/>
            <rFont val="Tahoma"/>
            <charset val="134"/>
          </rPr>
          <t>user:
99 تننازل 
50 مستورد</t>
        </r>
      </text>
    </comment>
    <comment ref="O7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بدل نقطة شحن</t>
        </r>
      </text>
    </comment>
    <comment ref="P7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25 عبادة 
25 بكر </t>
        </r>
      </text>
    </comment>
    <comment ref="O7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تظليل 12.5
5 اكرامية 
60 بدل نقطة شحن 
60 بدل كوشوك </t>
        </r>
      </text>
    </comment>
    <comment ref="P7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25 بكر 
75 عبادة</t>
        </r>
      </text>
    </comment>
    <comment ref="I7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شراء 25
70 فحص الشريف
10 تظليل </t>
        </r>
      </text>
    </comment>
    <comment ref="P7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</t>
        </r>
      </text>
    </comment>
    <comment ref="G7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تجييد الصقري 80
12.5 تكسي توصيل النخبة ومحمود الصقري </t>
        </r>
      </text>
    </comment>
    <comment ref="H7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دهان 49
13 هوايات 
13 بوليش 
12.5 تظليل
</t>
        </r>
      </text>
    </comment>
    <comment ref="J7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15 نقل 
60 مستورد 
104 تنازل 
20 مخالفة </t>
        </r>
      </text>
    </comment>
    <comment ref="K7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بدل استثناء تأمين شامل شركة تمكين </t>
        </r>
      </text>
    </comment>
    <comment ref="L7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بدل تركيب شاشة 50
بدل صيانة نخبة الابداع 350
غير مدفوعة لغاية 17/2/2026
</t>
        </r>
      </text>
    </comment>
    <comment ref="N7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 مخالفة 
50 بدل ترخيص
3 شحن سريع 
20 بدل غسيل </t>
        </r>
      </text>
    </comment>
    <comment ref="P7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 </t>
        </r>
      </text>
    </comment>
    <comment ref="H8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دراي كلين </t>
        </r>
      </text>
    </comment>
    <comment ref="I8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 ادهم 
70 فحص شريف 
75 فحص ثاني </t>
        </r>
      </text>
    </comment>
    <comment ref="J8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194 نقل ملكية ورهن
60 مستورد 
3 مشروحات
64 مخالفات</t>
        </r>
      </text>
    </comment>
    <comment ref="L8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3.25 شحن سريع 
4 شحن سريع 
3 غسيل </t>
        </r>
      </text>
    </comment>
    <comment ref="O8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بلال المتخصصة</t>
        </r>
      </text>
    </comment>
    <comment ref="P8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بيع وتنفيذ 50
15 فحص محمد</t>
        </r>
      </text>
    </comment>
    <comment ref="H8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صيانة صدا</t>
        </r>
      </text>
    </comment>
    <comment ref="J8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تنازل من حساب مؤمن </t>
        </r>
      </text>
    </comment>
    <comment ref="O8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50 رفع اسواتش 
5 شحن </t>
        </r>
      </text>
    </comment>
    <comment ref="P8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135
15 فحص بكر </t>
        </r>
      </text>
    </comment>
    <comment ref="O8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نواف </t>
        </r>
      </text>
    </comment>
    <comment ref="G8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كوشوك امامي </t>
        </r>
      </text>
    </comment>
    <comment ref="H8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تظليل 15
10 غسيل فرش </t>
        </r>
      </text>
    </comment>
    <comment ref="N8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اغراض نقطة شحن</t>
        </r>
      </text>
    </comment>
    <comment ref="O8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P8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مؤمن</t>
        </r>
      </text>
    </comment>
    <comment ref="H8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بطاريات ريموت 
في وايا ويو </t>
        </r>
      </text>
    </comment>
    <comment ref="I8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تخمين الصقري </t>
        </r>
      </text>
    </comment>
    <comment ref="O8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 اكرامية 
12.5 تظليل </t>
        </r>
      </text>
    </comment>
    <comment ref="P8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عباده </t>
        </r>
      </text>
    </comment>
    <comment ref="H8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بنشر </t>
        </r>
      </text>
    </comment>
    <comment ref="O8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 اكرامية 
10 بنزين </t>
        </r>
      </text>
    </comment>
    <comment ref="P8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</t>
        </r>
      </text>
    </comment>
    <comment ref="Q8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H8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تظليل
</t>
        </r>
      </text>
    </comment>
    <comment ref="O8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G8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 32 متغير شاحن 
</t>
        </r>
      </text>
    </comment>
    <comment ref="I87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ادهم 20
  بندار شريف 80 
55 كارسير وتخمين تسهيلات</t>
        </r>
      </text>
    </comment>
    <comment ref="O8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P87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100 عمولة بيع
25 تنفيذ</t>
        </r>
      </text>
    </comment>
    <comment ref="G8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شاحن  32 متغير </t>
        </r>
      </text>
    </comment>
    <comment ref="O8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G8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8 امبير </t>
        </r>
      </text>
    </comment>
    <comment ref="O8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I90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ادهم 20
70 فحص صافوطي</t>
        </r>
      </text>
    </comment>
    <comment ref="J90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35 مدفوع صرف شيك </t>
        </r>
      </text>
    </comment>
    <comment ref="O90" authorId="1">
      <text>
        <r>
          <rPr>
            <sz val="9"/>
            <rFont val="Tahoma"/>
            <charset val="134"/>
          </rPr>
          <t xml:space="preserve">اكرامية </t>
        </r>
      </text>
    </comment>
    <comment ref="P90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85 عبادة 
25 مجالي</t>
        </r>
      </text>
    </comment>
    <comment ref="I91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80 فحص 
65 فحص شاصي ثاني 
20 ادهم </t>
        </r>
      </text>
    </comment>
    <comment ref="J91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بدل صرف شيك 25 مدفوع</t>
        </r>
      </text>
    </comment>
    <comment ref="O9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P91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85عبادة 
15  مجالي</t>
        </r>
      </text>
    </comment>
    <comment ref="G92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شاحن 32 متغير مستعمل ابو يوسف </t>
        </r>
      </text>
    </comment>
    <comment ref="O9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J9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143 تنازل 
15 نقل تأمين 
55 مستورد </t>
        </r>
      </text>
    </comment>
    <comment ref="N9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تكسي من البنك للترخيص </t>
        </r>
      </text>
    </comment>
    <comment ref="O9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5اكارمية 
بدل غسيل 5</t>
        </r>
      </text>
    </comment>
    <comment ref="P9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100 عمولة احمد يماني
50 مؤنس 
25 بدل تنفيذ عبادة </t>
        </r>
      </text>
    </comment>
    <comment ref="U9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11490 تعهد 
40 من الزبون </t>
        </r>
      </text>
    </comment>
    <comment ref="H9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لمبة ضو امامي وخلفي </t>
        </r>
      </text>
    </comment>
    <comment ref="P9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 
</t>
        </r>
      </text>
    </comment>
    <comment ref="O9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
</t>
        </r>
      </text>
    </comment>
    <comment ref="I97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كارسير</t>
        </r>
      </text>
    </comment>
    <comment ref="J97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مدفوع 35 صرف شيك </t>
        </r>
      </text>
    </comment>
    <comment ref="P97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عبادة 85
15 مجالي</t>
        </r>
      </text>
    </comment>
    <comment ref="L98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تكسي </t>
        </r>
      </text>
    </comment>
    <comment ref="P98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بكر85
25 مجالي</t>
        </r>
      </text>
    </comment>
    <comment ref="P99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عبادة </t>
        </r>
      </text>
    </comment>
    <comment ref="I102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35 كارسير 
20 ادهم 
90 تخمين الاندلسية</t>
        </r>
      </text>
    </comment>
    <comment ref="H103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رفع اس او اتش الصافوطي </t>
        </r>
      </text>
    </comment>
    <comment ref="I103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فحص شريف + كارسير 115
20 ادهم </t>
        </r>
      </text>
    </comment>
    <comment ref="O104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توصيل - محمد الصواف </t>
        </r>
      </text>
    </comment>
    <comment ref="O106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غسيل </t>
        </r>
      </text>
    </comment>
    <comment ref="O10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</t>
        </r>
      </text>
    </comment>
    <comment ref="H10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بنشر </t>
        </r>
      </text>
    </comment>
    <comment ref="N10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محمد الصواف </t>
        </r>
      </text>
    </comment>
    <comment ref="I10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كارسير </t>
        </r>
      </text>
    </comment>
    <comment ref="P10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عباده </t>
        </r>
      </text>
    </comment>
    <comment ref="U10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ناقصات 80 دينار </t>
        </r>
      </text>
    </comment>
    <comment ref="I11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50 معيني 
35 كارسير </t>
        </r>
      </text>
    </comment>
    <comment ref="J11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135 تنازل شراء مع نقل تأمين 
وبطارة مستورد 
88 تنازل شركة 
</t>
        </r>
      </text>
    </comment>
    <comment ref="O11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 اكرامية 
50 بدل ترخيص مركبة </t>
        </r>
      </text>
    </comment>
    <comment ref="P11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50 عمولة شراء مؤمن 
100 عمولة بيع بكر </t>
        </r>
      </text>
    </comment>
    <comment ref="J11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138 تنازل 
15 نقل 
50 مستورد 
5 بدل غسيل </t>
        </r>
      </text>
    </comment>
    <comment ref="P11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</t>
        </r>
      </text>
    </comment>
    <comment ref="N11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</text>
    </comment>
    <comment ref="P11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O11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نقطة شحن </t>
        </r>
      </text>
    </comment>
    <comment ref="O11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اكارمية </t>
        </r>
      </text>
    </comment>
    <comment ref="P11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
توصيل مؤمن </t>
        </r>
      </text>
    </comment>
    <comment ref="H11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67 كوشوك
6 ارضيات </t>
        </r>
      </text>
    </comment>
    <comment ref="I11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40 فحص شراء 
60 فحص بيع 
35 كارسير </t>
        </r>
      </text>
    </comment>
    <comment ref="J11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103 تنازل ونقل تأمين شراء 
97 تنازل ومعاملة بيع </t>
        </r>
      </text>
    </comment>
    <comment ref="O11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</t>
        </r>
      </text>
    </comment>
    <comment ref="P11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</t>
        </r>
      </text>
    </comment>
    <comment ref="I11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40 فحص شراء 
50 فحص بيع 
35 كارسير </t>
        </r>
      </text>
    </comment>
    <comment ref="J11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87 تنازل شراء 
103 تنازل شراء ونقل تأمين 
</t>
        </r>
      </text>
    </comment>
    <comment ref="N120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عبدالملك</t>
        </r>
      </text>
    </comment>
    <comment ref="O120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بلال
5 اكرامية</t>
        </r>
      </text>
    </comment>
    <comment ref="P120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85 محمد
25 مجالي</t>
        </r>
      </text>
    </comment>
    <comment ref="L121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بنزين</t>
        </r>
      </text>
    </comment>
    <comment ref="N121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ادهم</t>
        </r>
      </text>
    </comment>
    <comment ref="O122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اكرامية </t>
        </r>
      </text>
    </comment>
    <comment ref="O126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اكرامية </t>
        </r>
      </text>
    </comment>
    <comment ref="F127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4316 دفعة المتتخصصة 
650 للزبون 
464 مخالفات 
285 تأمين
85 تنازل</t>
        </r>
      </text>
    </comment>
    <comment ref="G127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طمبون 40 دينار 
80 تركيب طمبون ودهان
55 مراي </t>
        </r>
      </text>
    </comment>
    <comment ref="H127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دراي كلين وتصليح كراسي </t>
        </r>
      </text>
    </comment>
    <comment ref="N127" authorId="1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تكسي المجالي بعد توصيلها لماركا </t>
        </r>
      </text>
    </comment>
    <comment ref="L12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بنزين 
</t>
        </r>
      </text>
    </comment>
    <comment ref="O12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اكرامية5
50 بلال مدفوعه</t>
        </r>
      </text>
    </comment>
    <comment ref="P128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عبادة 135
25 مجالي</t>
        </r>
      </text>
    </comment>
    <comment ref="J12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144 تنازل ورهن 
15 نقل تأمين 
50 بطاقة 
3.5 مشروحات</t>
        </r>
      </text>
    </comment>
    <comment ref="O12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اكارمية 2
150 كفالة 
60 نقطة شحن </t>
        </r>
      </text>
    </comment>
    <comment ref="P129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85عبادة 
25 تنفيذ المجالي بدون فحص مشاركة 
</t>
        </r>
      </text>
    </comment>
    <comment ref="O13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كراج 
</t>
        </r>
      </text>
    </comment>
    <comment ref="P130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 عبادة تنفيذ  25
25 المجالي تنفيذ </t>
        </r>
      </text>
    </comment>
    <comment ref="O13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P13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50عبادة 
15تنفيذ مجالي</t>
        </r>
      </text>
    </comment>
    <comment ref="G13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تأمين 79
98 نقل تأمين وترخيص 
20شاحن 8 امبير </t>
        </r>
      </text>
    </comment>
    <comment ref="H13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فك تظليل 5
27.5 بوليش + غسيل</t>
        </r>
      </text>
    </comment>
    <comment ref="I13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70 فحص 
30 ادهم 
70 فحص ثاني</t>
        </r>
      </text>
    </comment>
    <comment ref="P132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 100عبادة 
فحص المجالي 15
15 تنازل محمد </t>
        </r>
      </text>
    </comment>
    <comment ref="G13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شاحن </t>
        </r>
      </text>
    </comment>
    <comment ref="O13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</t>
        </r>
      </text>
    </comment>
    <comment ref="P13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85عبادة 
25 تنفيذ المجالي </t>
        </r>
      </text>
    </comment>
    <comment ref="Q133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اكرامية </t>
        </r>
      </text>
    </comment>
    <comment ref="H13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بوليش </t>
        </r>
      </text>
    </comment>
    <comment ref="I13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شراء شريف 80
80 فحص صقري بيع </t>
        </r>
      </text>
    </comment>
    <comment ref="J13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 تنازل ونقل تأمين شراء 102.3 
326 تنازل ورهن وترخيص ونقل تأمين بيع </t>
        </r>
      </text>
    </comment>
    <comment ref="P134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عبود </t>
        </r>
      </text>
    </comment>
    <comment ref="O13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محمد كارسير 5
4 غسيل </t>
        </r>
      </text>
    </comment>
    <comment ref="P135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</t>
        </r>
      </text>
    </comment>
    <comment ref="O13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محمد كارسير </t>
        </r>
      </text>
    </comment>
    <comment ref="P136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بكر
</t>
        </r>
      </text>
    </comment>
    <comment ref="O13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غسيل 3
 اكرامية 5
</t>
        </r>
      </text>
    </comment>
    <comment ref="P137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عبادة </t>
        </r>
      </text>
    </comment>
    <comment ref="I138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فحص كارسير لمعاملة بندار</t>
        </r>
      </text>
    </comment>
  </commentList>
</comments>
</file>

<file path=xl/sharedStrings.xml><?xml version="1.0" encoding="utf-8"?>
<sst xmlns="http://schemas.openxmlformats.org/spreadsheetml/2006/main" count="546" uniqueCount="359">
  <si>
    <t>راس المال</t>
  </si>
  <si>
    <t>علاء جراد</t>
  </si>
  <si>
    <t>ثائر البربري</t>
  </si>
  <si>
    <t>هيمون</t>
  </si>
  <si>
    <t>اثاث وديكور</t>
  </si>
  <si>
    <t xml:space="preserve">المبلغ </t>
  </si>
  <si>
    <t>البيان</t>
  </si>
  <si>
    <t>التاريخ</t>
  </si>
  <si>
    <t>المجموع</t>
  </si>
  <si>
    <t>الرصيد</t>
  </si>
  <si>
    <t>2/11/2025</t>
  </si>
  <si>
    <t>الايراد</t>
  </si>
  <si>
    <t>القيمة</t>
  </si>
  <si>
    <t>المصاريف</t>
  </si>
  <si>
    <t>7/4/2026</t>
  </si>
  <si>
    <t xml:space="preserve">حساب سفيان </t>
  </si>
  <si>
    <t xml:space="preserve">مؤمن </t>
  </si>
  <si>
    <t>مصاريف مدفوعة مقدماً</t>
  </si>
  <si>
    <t>ايجار وادي صقرة 6 اشهر من شهر 5/2026 لغاية شهر 31/10/2026</t>
  </si>
  <si>
    <t>1/3/2026</t>
  </si>
  <si>
    <t xml:space="preserve">حساب المواسرجي </t>
  </si>
  <si>
    <t>8/3/2026</t>
  </si>
  <si>
    <t xml:space="preserve">حساب الكهربجي </t>
  </si>
  <si>
    <t xml:space="preserve">حساب البليط </t>
  </si>
  <si>
    <t>مكنسة</t>
  </si>
  <si>
    <t xml:space="preserve">انارة </t>
  </si>
  <si>
    <t>10/3/2026</t>
  </si>
  <si>
    <t xml:space="preserve">سيراميك </t>
  </si>
  <si>
    <t>16/3/2026</t>
  </si>
  <si>
    <t xml:space="preserve">سيكوريت </t>
  </si>
  <si>
    <t>19/3/2026</t>
  </si>
  <si>
    <t xml:space="preserve">حساب الدهان </t>
  </si>
  <si>
    <t>25/3/2026</t>
  </si>
  <si>
    <t xml:space="preserve">فاتورة اغراض اضاءة و حمام واكسسوار حمام </t>
  </si>
  <si>
    <t xml:space="preserve">بدل خدمات وتنظيف مصطفى </t>
  </si>
  <si>
    <t>29/3/2026</t>
  </si>
  <si>
    <t xml:space="preserve">عزل جبص بورد </t>
  </si>
  <si>
    <t xml:space="preserve">شيبورد </t>
  </si>
  <si>
    <t>باقي حساب مواسرجي</t>
  </si>
  <si>
    <t xml:space="preserve">مطبخ 345 و 55 باب اوكورديون </t>
  </si>
  <si>
    <t>30/3/2026</t>
  </si>
  <si>
    <t>قطعة مجلى بدل المكسور 6 تب ولوب اسود وكبسات كهربا عدد 4 ب6</t>
  </si>
  <si>
    <t>بانيل 13*4+ معجونة 44 *.85</t>
  </si>
  <si>
    <t xml:space="preserve">شفاط حمام وادي صقرة 5 انش </t>
  </si>
  <si>
    <t xml:space="preserve">نقل اثاث </t>
  </si>
  <si>
    <t>مواد (مسجلة في التدفات)</t>
  </si>
  <si>
    <t xml:space="preserve">ابو طلال اتعاب ومعاملات </t>
  </si>
  <si>
    <t xml:space="preserve">من حساب ابو الامير باقي </t>
  </si>
  <si>
    <t xml:space="preserve">حساب امانة عمان 1000 من ابو الامير و 2250 </t>
  </si>
  <si>
    <t xml:space="preserve">تصديق عقد الايجار </t>
  </si>
  <si>
    <t>ابو الامير - ضمان 1000 باقي حساب و1200 دين</t>
  </si>
  <si>
    <t xml:space="preserve">اتعاب ابو طلال المرحلة الثانية </t>
  </si>
  <si>
    <t xml:space="preserve">غير مدفوعة لهيمون بدل دفعة الرخصة </t>
  </si>
  <si>
    <t>ابو الامير - ضمان اجتماعي دين</t>
  </si>
  <si>
    <t xml:space="preserve">باب 100 مع الرداد 50 مواد 40 فتحة الشفاط 250 حساب الكهربا والانارة 300 تركيب شي بورد و دهان </t>
  </si>
  <si>
    <t>الرقم</t>
  </si>
  <si>
    <t xml:space="preserve">نوع المركبة </t>
  </si>
  <si>
    <t>المورد</t>
  </si>
  <si>
    <t>رقم المركبة</t>
  </si>
  <si>
    <t>سعر الشراء</t>
  </si>
  <si>
    <t>قطع غيار</t>
  </si>
  <si>
    <t>م. صيانة</t>
  </si>
  <si>
    <t>فحص</t>
  </si>
  <si>
    <t>م . تنازل</t>
  </si>
  <si>
    <t>تامين</t>
  </si>
  <si>
    <t>شحن</t>
  </si>
  <si>
    <t>طوابع</t>
  </si>
  <si>
    <t xml:space="preserve">م. توصيل </t>
  </si>
  <si>
    <t>اخرى</t>
  </si>
  <si>
    <t>عمولة بيع /تنفيذ</t>
  </si>
  <si>
    <t>مجموع مصروف المركبة</t>
  </si>
  <si>
    <t>تكلفة المركبة</t>
  </si>
  <si>
    <t xml:space="preserve">قيمة التعهد </t>
  </si>
  <si>
    <t xml:space="preserve">سعر البيع </t>
  </si>
  <si>
    <t>ربح المركبة</t>
  </si>
  <si>
    <t xml:space="preserve">فرق تعهد </t>
  </si>
  <si>
    <t>لافيدا 2019 شاصي 8450</t>
  </si>
  <si>
    <t>عطيوي</t>
  </si>
  <si>
    <t>ياسر القواسمه</t>
  </si>
  <si>
    <t>شانجان ايدو 2021 ابيض</t>
  </si>
  <si>
    <t xml:space="preserve">احمد بني مصطفى </t>
  </si>
  <si>
    <t>نانو بوكس 2022 ابيض</t>
  </si>
  <si>
    <t>ربا الهيجاء</t>
  </si>
  <si>
    <t>اي بورا 2019 فل ابيض</t>
  </si>
  <si>
    <t xml:space="preserve">هبه المحارمة </t>
  </si>
  <si>
    <t>اي غولف 2020</t>
  </si>
  <si>
    <t xml:space="preserve"> اصفر  405 byd seagull 2023</t>
  </si>
  <si>
    <t xml:space="preserve">ابو سيف </t>
  </si>
  <si>
    <t>دولفين 2022 زهر</t>
  </si>
  <si>
    <t xml:space="preserve">دولفين 2021 نهدي </t>
  </si>
  <si>
    <t>دولفين 2022 فيراني</t>
  </si>
  <si>
    <t>دولفين 2023 فيراني</t>
  </si>
  <si>
    <t xml:space="preserve">ربح مؤجل </t>
  </si>
  <si>
    <t>byd e3 2020 10/7</t>
  </si>
  <si>
    <t xml:space="preserve">سيلفي 2019 ابيض </t>
  </si>
  <si>
    <t>byd e2 2020</t>
  </si>
  <si>
    <t>شانجان اي ستار 2022 اخضر</t>
  </si>
  <si>
    <t>مؤمن</t>
  </si>
  <si>
    <t xml:space="preserve"> 559 eado 2021 جديد</t>
  </si>
  <si>
    <t>نيتا في 2021 فيراني 3 جيد</t>
  </si>
  <si>
    <t>سيجول 405 2023 اسود 4 جيد</t>
  </si>
  <si>
    <t>بلوم كارز</t>
  </si>
  <si>
    <t>اي تو 2023 زيرو</t>
  </si>
  <si>
    <t xml:space="preserve">سيجول 2023 305 اسود </t>
  </si>
  <si>
    <t>اي ستار 2022 ميد</t>
  </si>
  <si>
    <t>انسينو 2019</t>
  </si>
  <si>
    <t>لافيدا 2020</t>
  </si>
  <si>
    <t>نيتا في 2021 ابيض</t>
  </si>
  <si>
    <t xml:space="preserve">لافيدا 2019 </t>
  </si>
  <si>
    <t>نامي بوكس 2023</t>
  </si>
  <si>
    <t>نانو بوكس 2022 ابيض / معتز جريسات</t>
  </si>
  <si>
    <t>جريسات</t>
  </si>
  <si>
    <t>id6 2022</t>
  </si>
  <si>
    <t>حرة</t>
  </si>
  <si>
    <t xml:space="preserve">ايدو 2021 3 جيد </t>
  </si>
  <si>
    <t xml:space="preserve">ليب موتور 2022 ابيض </t>
  </si>
  <si>
    <t>خيري</t>
  </si>
  <si>
    <t xml:space="preserve">ليب موتور 2022 كحلي </t>
  </si>
  <si>
    <t xml:space="preserve">غادة </t>
  </si>
  <si>
    <t xml:space="preserve">اي تو 2023 فيراني </t>
  </si>
  <si>
    <t xml:space="preserve">عطيوي </t>
  </si>
  <si>
    <t xml:space="preserve">هبه اسلامي  </t>
  </si>
  <si>
    <t xml:space="preserve">اي تو 2023 مستعمل ابيض </t>
  </si>
  <si>
    <t>مؤجل</t>
  </si>
  <si>
    <t>بي واي دي سيجول كريمي 2024</t>
  </si>
  <si>
    <t>اي ثري 2020 جديد - عماد القضاة</t>
  </si>
  <si>
    <t xml:space="preserve">اي تو 2020 احمر </t>
  </si>
  <si>
    <t xml:space="preserve">نيتا يو 2023 ابيض </t>
  </si>
  <si>
    <t>سونج بلس 2024</t>
  </si>
  <si>
    <t xml:space="preserve">ليب موتور 2022 اسود </t>
  </si>
  <si>
    <t>احمد خليفات</t>
  </si>
  <si>
    <t xml:space="preserve">ليب موتور  2022 مستعمل </t>
  </si>
  <si>
    <t>ديسروير 2025 ابيض زيرو</t>
  </si>
  <si>
    <t xml:space="preserve">دونج فينح نانو اخضر </t>
  </si>
  <si>
    <t>شانجان اي ستار 2021 فل ابيض</t>
  </si>
  <si>
    <t xml:space="preserve">byd segull بيج 2023 بطارية صغيرة </t>
  </si>
  <si>
    <t>ليب موتور ابيض 2022</t>
  </si>
  <si>
    <t>خليفات</t>
  </si>
  <si>
    <t xml:space="preserve">الغبابشة </t>
  </si>
  <si>
    <t>ليب موتور اسود 2022</t>
  </si>
  <si>
    <t>زريقات</t>
  </si>
  <si>
    <t>بي واي دي سيجول كريمي 2024 زيرو</t>
  </si>
  <si>
    <t xml:space="preserve">مؤيد </t>
  </si>
  <si>
    <t>كين بلس زيرو 2025</t>
  </si>
  <si>
    <t xml:space="preserve">سيجول 305 اسود </t>
  </si>
  <si>
    <t>السهل الاخضر</t>
  </si>
  <si>
    <t xml:space="preserve">سيجول 305 فسفوري </t>
  </si>
  <si>
    <t>سيجول 405 2023 اسود 3 جيد</t>
  </si>
  <si>
    <t xml:space="preserve">دولفين 2022 ازرق </t>
  </si>
  <si>
    <t xml:space="preserve">سيلفي 2019 اسود 3 جيد  </t>
  </si>
  <si>
    <t>لافيدا 2019 من عماد القضاه</t>
  </si>
  <si>
    <t>نيتا في 2022</t>
  </si>
  <si>
    <t>كن بلس 2024</t>
  </si>
  <si>
    <t xml:space="preserve">الزريقات </t>
  </si>
  <si>
    <t>تويوتا bz3 2023</t>
  </si>
  <si>
    <t xml:space="preserve">هوندا ان اس 1 2023 زيرو </t>
  </si>
  <si>
    <t xml:space="preserve">نيتا في 2022 ابيض </t>
  </si>
  <si>
    <t xml:space="preserve">امجد </t>
  </si>
  <si>
    <t>نيتا يو 2022 برو</t>
  </si>
  <si>
    <t xml:space="preserve">زريقات </t>
  </si>
  <si>
    <t>نيتا اكس 2023</t>
  </si>
  <si>
    <t xml:space="preserve">ايدو 2021 4 جيد </t>
  </si>
  <si>
    <t xml:space="preserve">بلوم كارز </t>
  </si>
  <si>
    <t xml:space="preserve">ايدو 2020 بوز اسود </t>
  </si>
  <si>
    <t xml:space="preserve">خلدون الطباع </t>
  </si>
  <si>
    <t>سيلفي 2019 ابيض 3 جيد</t>
  </si>
  <si>
    <t>سيجول 305 2023</t>
  </si>
  <si>
    <t xml:space="preserve">بلوم </t>
  </si>
  <si>
    <t>دولفين 2022</t>
  </si>
  <si>
    <t xml:space="preserve">محمد ابو علي </t>
  </si>
  <si>
    <t>اياد</t>
  </si>
  <si>
    <t xml:space="preserve">نيتا ايا بطارية كبيرة زريقات </t>
  </si>
  <si>
    <t xml:space="preserve">عبدالرحمن </t>
  </si>
  <si>
    <t xml:space="preserve">نيتا في 2023 كبيرة  3 جيد اخضر </t>
  </si>
  <si>
    <t xml:space="preserve">اي بورا 2020 ابيض </t>
  </si>
  <si>
    <t xml:space="preserve">ابو حميدة </t>
  </si>
  <si>
    <t>13400  كامل</t>
  </si>
  <si>
    <t xml:space="preserve">سيجول 405 كريمي </t>
  </si>
  <si>
    <t xml:space="preserve">وعد </t>
  </si>
  <si>
    <t xml:space="preserve">مدفوع </t>
  </si>
  <si>
    <t>نيتا في 2022 فيراني</t>
  </si>
  <si>
    <t xml:space="preserve">عمار </t>
  </si>
  <si>
    <t xml:space="preserve">نيتا ايا بطارية كبيرة 2023 ابيض  4 جيد </t>
  </si>
  <si>
    <t xml:space="preserve">نعيم </t>
  </si>
  <si>
    <t>سيجول اصفر 405</t>
  </si>
  <si>
    <t xml:space="preserve">ابو محمد </t>
  </si>
  <si>
    <t xml:space="preserve">سمرين </t>
  </si>
  <si>
    <t>نيسان سيلفي 3 جيد اسود</t>
  </si>
  <si>
    <t xml:space="preserve">سفيان </t>
  </si>
  <si>
    <t xml:space="preserve">دولفين 2022 نهدي </t>
  </si>
  <si>
    <t xml:space="preserve">دولفين 2021 سكني </t>
  </si>
  <si>
    <t xml:space="preserve">كامل </t>
  </si>
  <si>
    <t xml:space="preserve">نيتا في فيراني 2022 </t>
  </si>
  <si>
    <t>دولفين زهري 2022</t>
  </si>
  <si>
    <t>راما</t>
  </si>
  <si>
    <t xml:space="preserve">نيتا ايا بطارية كبيرة 2023 ازرق 3 جيد </t>
  </si>
  <si>
    <t xml:space="preserve">ماري حجازين </t>
  </si>
  <si>
    <t xml:space="preserve">كين بلس زيرو 2025 ابيض </t>
  </si>
  <si>
    <t>مدفوع</t>
  </si>
  <si>
    <t>يوان بلس 2023 فيراني فل</t>
  </si>
  <si>
    <t xml:space="preserve">بوان بلس 2023 بيسك </t>
  </si>
  <si>
    <t>BZ3 630 2023</t>
  </si>
  <si>
    <t xml:space="preserve">سيجول زيرو 2024 بيج </t>
  </si>
  <si>
    <t>سيجول 305 بيج 2023</t>
  </si>
  <si>
    <t xml:space="preserve">بنك اسلامي </t>
  </si>
  <si>
    <t xml:space="preserve">كامل 11490 من السهل الاخضر </t>
  </si>
  <si>
    <t xml:space="preserve">اي ستار 2022 ميد </t>
  </si>
  <si>
    <t xml:space="preserve">انس </t>
  </si>
  <si>
    <t>كامل 11200</t>
  </si>
  <si>
    <t>كن بلس 2025 ابيض 2</t>
  </si>
  <si>
    <t>كيا اي في 5 2023</t>
  </si>
  <si>
    <t>كين اي في اصفر 2023</t>
  </si>
  <si>
    <t>اي تو 2020 ابيض 305</t>
  </si>
  <si>
    <t xml:space="preserve">لافيدا 2021 </t>
  </si>
  <si>
    <t xml:space="preserve">كين بلس 2025 زيرو </t>
  </si>
  <si>
    <t>طارق</t>
  </si>
  <si>
    <t xml:space="preserve">الشوبكي </t>
  </si>
  <si>
    <t xml:space="preserve">سيجول 2023 305 فسفوري </t>
  </si>
  <si>
    <t xml:space="preserve">ابو هلالة محاسنة </t>
  </si>
  <si>
    <t>نانو بوكس 2022 اخضر</t>
  </si>
  <si>
    <t xml:space="preserve">مقبل بلوم </t>
  </si>
  <si>
    <t>نيتا في 2022 تركواز</t>
  </si>
  <si>
    <t>ميج سكاي 2026</t>
  </si>
  <si>
    <t xml:space="preserve">العبيدي كنده </t>
  </si>
  <si>
    <t xml:space="preserve">خديجة النجار </t>
  </si>
  <si>
    <t xml:space="preserve">سيل 2025 فيراني </t>
  </si>
  <si>
    <t>سيجول بيج 305</t>
  </si>
  <si>
    <t>اي ستار 2023</t>
  </si>
  <si>
    <t xml:space="preserve">كين بلس 2025 زيرو  ابيض </t>
  </si>
  <si>
    <t xml:space="preserve">نانو بوكس 2022 ابيض </t>
  </si>
  <si>
    <t xml:space="preserve">شيك كامل نردين </t>
  </si>
  <si>
    <t xml:space="preserve">سيجول 405 2023 اسود </t>
  </si>
  <si>
    <t xml:space="preserve">نانو لوكس 2022 اخضر </t>
  </si>
  <si>
    <t xml:space="preserve">عاصم </t>
  </si>
  <si>
    <t xml:space="preserve">11500 كامل </t>
  </si>
  <si>
    <t>سيلفي 2019 اسود 4 جيد</t>
  </si>
  <si>
    <t xml:space="preserve">كين كهربا 2023 اصفر </t>
  </si>
  <si>
    <t xml:space="preserve">سيجول 2023 405 اسود </t>
  </si>
  <si>
    <t xml:space="preserve">رامي </t>
  </si>
  <si>
    <t>داليا</t>
  </si>
  <si>
    <t>ديسروير 2025 اسود  زيرو</t>
  </si>
  <si>
    <t xml:space="preserve">بي واي دي كين 2020 زيرو اصفر </t>
  </si>
  <si>
    <t xml:space="preserve">بيستيون 2023 زيرو </t>
  </si>
  <si>
    <t xml:space="preserve">مصاريف ادارية وعمومية </t>
  </si>
  <si>
    <t xml:space="preserve">شعبان </t>
  </si>
  <si>
    <t>بكر</t>
  </si>
  <si>
    <t xml:space="preserve">عبدالقادر </t>
  </si>
  <si>
    <t>-</t>
  </si>
  <si>
    <t>سلف شركاء</t>
  </si>
  <si>
    <t>بيان</t>
  </si>
  <si>
    <t>ارباح وخسائر</t>
  </si>
  <si>
    <t>ارباح المركبات المباعة</t>
  </si>
  <si>
    <t>مصاريف</t>
  </si>
  <si>
    <t>5+</t>
  </si>
  <si>
    <t>فرق صندوق شهر 10/2025</t>
  </si>
  <si>
    <t>مصاريف ادارية شهرية</t>
  </si>
  <si>
    <t xml:space="preserve">ارباح مدورة </t>
  </si>
  <si>
    <t>صافي الربح</t>
  </si>
  <si>
    <t xml:space="preserve"> </t>
  </si>
  <si>
    <t xml:space="preserve">اسم الزبون </t>
  </si>
  <si>
    <t xml:space="preserve">تاريخ الاستحقاق </t>
  </si>
  <si>
    <t xml:space="preserve">مبلغ الاستحقاق </t>
  </si>
  <si>
    <t xml:space="preserve">اجمالي المبلغ المطلوب </t>
  </si>
  <si>
    <t xml:space="preserve">المبلغ المدفوع </t>
  </si>
  <si>
    <t>Column1</t>
  </si>
  <si>
    <t>1/5/2026</t>
  </si>
  <si>
    <t>عمر اي تو حمرا 2020</t>
  </si>
  <si>
    <t>عبدالرحمن كين صفرا</t>
  </si>
  <si>
    <t xml:space="preserve">سماح سيلفي </t>
  </si>
  <si>
    <t xml:space="preserve">داليا كين بلس </t>
  </si>
  <si>
    <t>سنة 2025</t>
  </si>
  <si>
    <t>ثائر</t>
  </si>
  <si>
    <t>علاء</t>
  </si>
  <si>
    <t xml:space="preserve">سنة </t>
  </si>
  <si>
    <t>26/2/2026</t>
  </si>
  <si>
    <t>21/09/2025</t>
  </si>
  <si>
    <t>400 سلفة</t>
  </si>
  <si>
    <t>22/10/2025</t>
  </si>
  <si>
    <t>23/1/2026</t>
  </si>
  <si>
    <t>ح / فرحان العطيوي من تاريخ 13/2/2025</t>
  </si>
  <si>
    <t>مدين</t>
  </si>
  <si>
    <t xml:space="preserve">دائن </t>
  </si>
  <si>
    <t>تاريخ الاستلام</t>
  </si>
  <si>
    <t>سابق</t>
  </si>
  <si>
    <t>مجموع</t>
  </si>
  <si>
    <t>معرض العطيوي</t>
  </si>
  <si>
    <t>نوع السيارة</t>
  </si>
  <si>
    <t>موديل السيارة</t>
  </si>
  <si>
    <t>رقم الشاصي</t>
  </si>
  <si>
    <t>تاريخ الشراء</t>
  </si>
  <si>
    <t xml:space="preserve">جهة التمويل </t>
  </si>
  <si>
    <t>اسم المشتري</t>
  </si>
  <si>
    <t>قيمة كتاب التعهد</t>
  </si>
  <si>
    <t>تاريخ التعهد</t>
  </si>
  <si>
    <t>سعر الشراء / التثبيت</t>
  </si>
  <si>
    <t xml:space="preserve">المطالبة </t>
  </si>
  <si>
    <t>رصيد افتتاحي مطابق بتاريخ 13/2/2025</t>
  </si>
  <si>
    <t>نيتا في 2021 ابيض 305</t>
  </si>
  <si>
    <t xml:space="preserve">المجالي </t>
  </si>
  <si>
    <t xml:space="preserve">عبادة </t>
  </si>
  <si>
    <t xml:space="preserve">محمد </t>
  </si>
  <si>
    <t>شهر 4-3500</t>
  </si>
  <si>
    <t xml:space="preserve">ابو الامير تسديد ضمان اجتماعي </t>
  </si>
  <si>
    <t xml:space="preserve">سيلفي 2019 2 جيد </t>
  </si>
  <si>
    <t xml:space="preserve">سيلفي 2019 4 جيد </t>
  </si>
  <si>
    <t xml:space="preserve">كين 2020 مستعمل </t>
  </si>
  <si>
    <t xml:space="preserve">نانو بوكس 2022 اسود </t>
  </si>
  <si>
    <t>نيتا في بطارية صغيرة 2022</t>
  </si>
  <si>
    <t xml:space="preserve">عمر الدقم </t>
  </si>
  <si>
    <t xml:space="preserve">احمد ابو حماد </t>
  </si>
  <si>
    <t xml:space="preserve">العطيوي </t>
  </si>
  <si>
    <t>ليب موتور 2024 زيرو ابيض</t>
  </si>
  <si>
    <t>ليب موتور 2024 زيرو ازرق</t>
  </si>
  <si>
    <t>كين ل 2024 فل ابيض</t>
  </si>
  <si>
    <t>21/05/2026</t>
  </si>
  <si>
    <t xml:space="preserve">قارمة مدفوع كامل </t>
  </si>
  <si>
    <t xml:space="preserve">عربون اي ستار بكر </t>
  </si>
  <si>
    <t>كن بلس 2025 ابيض 3</t>
  </si>
  <si>
    <t xml:space="preserve">عربون س60 2023 زيرو زبون بكر </t>
  </si>
  <si>
    <t xml:space="preserve">عامر </t>
  </si>
  <si>
    <t>شهر5 -3500</t>
  </si>
  <si>
    <t>عربون عبدالرحمن اي تو 2020 اجمالي 146</t>
  </si>
  <si>
    <t xml:space="preserve">فروقات تعهدات العطيوي - 7 تعهدات </t>
  </si>
  <si>
    <t xml:space="preserve">فحص وتخمين وكارسير اي تو 2020 عبدالرحمن الكوثر </t>
  </si>
  <si>
    <t>اشتراك  53</t>
  </si>
  <si>
    <t>اشتراك 53</t>
  </si>
  <si>
    <t xml:space="preserve">محارم و قهوة ومياه </t>
  </si>
  <si>
    <t xml:space="preserve">رفع اس او اتش - اي تو 2020 عبدالرحمن </t>
  </si>
  <si>
    <t xml:space="preserve">اي تو 2020 405 </t>
  </si>
  <si>
    <t xml:space="preserve">ادهم بدل فحص اي تو الكوثر - عبدالرحمن </t>
  </si>
  <si>
    <t>فاتورة مياه وكهرباء شهر 5</t>
  </si>
  <si>
    <t>ارباح علاء</t>
  </si>
  <si>
    <t xml:space="preserve">بدل غذاء يوم سبت و ضيافة </t>
  </si>
  <si>
    <t xml:space="preserve">باقي راتب وعمولات عبادة </t>
  </si>
  <si>
    <t>سلفة عامر على 8 شهور بقسط 50 دينار</t>
  </si>
  <si>
    <t>تكليف مصاريف التأسيس</t>
  </si>
  <si>
    <t xml:space="preserve">راتب ثائر </t>
  </si>
  <si>
    <t xml:space="preserve">توزيع ارباح ثائر </t>
  </si>
  <si>
    <t xml:space="preserve">توصيل يوان بلس 2022 - محمد الصواف </t>
  </si>
  <si>
    <t xml:space="preserve">يوان بلس 2022 عضمي </t>
  </si>
  <si>
    <t xml:space="preserve">اكراميات سيارات عدد 4 العطيوي </t>
  </si>
  <si>
    <t xml:space="preserve">سلفة عامر </t>
  </si>
  <si>
    <t xml:space="preserve">عربون زبون س60 بندار </t>
  </si>
  <si>
    <t xml:space="preserve">شحن سريع يوان 2022 بيان </t>
  </si>
  <si>
    <t>عربون نيتا في 2022 ابو سيف</t>
  </si>
  <si>
    <t xml:space="preserve">بي زد 4 2022 فور ويل </t>
  </si>
  <si>
    <t xml:space="preserve">سونج بلس 2024 زيرو </t>
  </si>
  <si>
    <t xml:space="preserve">ترجيع عربون - اي تو 2020 - الكوثر - عبدالرحمن </t>
  </si>
  <si>
    <t xml:space="preserve">تصليح مراي نيتا في 2021 </t>
  </si>
  <si>
    <t>اشتراك انترنيت شهر 6</t>
  </si>
  <si>
    <t>اعلانات سوق مفتوح (2* 77.25 تيربو ) (5*5.26 اعلان عادي )</t>
  </si>
  <si>
    <t xml:space="preserve">عربون نانو بوكس 2022 اسود </t>
  </si>
  <si>
    <t xml:space="preserve">فيسبوك سفيان </t>
  </si>
  <si>
    <t>فرق دفعة سيجول رعد المتخصصة - معاملة موقوفة / باقي 471</t>
  </si>
  <si>
    <t xml:space="preserve">عربون سونج بلس محمود </t>
  </si>
  <si>
    <t xml:space="preserve">فحص وتخمين نيتا في 2021 - خليل </t>
  </si>
  <si>
    <t xml:space="preserve">حساب بولصيات تأمين عدد 6 (480*2) (450*4) </t>
  </si>
  <si>
    <t>فحص وتخمين سونج بلس 2025 زيرو من اصل عربون 120</t>
  </si>
  <si>
    <t xml:space="preserve">تصليح نيتا في 2021 - عبادة المجالي من اصل 150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</si>
</sst>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"/>
  </numFmts>
  <fonts count="25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2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name val="Arial"/>
      <charset val="134"/>
      <scheme val="minor"/>
    </font>
    <font>
      <b/>
      <sz val="11"/>
      <color rgb="FFFF0000"/>
      <name val="Arial"/>
      <charset val="134"/>
      <scheme val="minor"/>
    </font>
    <font>
      <sz val="11"/>
      <color rgb="FFFF0000"/>
      <name val="Arial"/>
      <charset val="134"/>
      <scheme val="minor"/>
    </font>
    <font>
      <b/>
      <sz val="9"/>
      <name val="Tahoma"/>
      <charset val="134"/>
    </font>
    <font>
      <b/>
      <sz val="9"/>
      <name val="Times New Roman"/>
    </font>
    <font>
      <sz val="9"/>
      <name val="Tahoma"/>
      <charset val="134"/>
    </font>
    <font>
      <sz val="9"/>
      <name val="Times New Roman"/>
    </font>
    <font>
      <sz val="11"/>
      <color theme="1"/>
      <name val="Arial"/>
      <charset val="134"/>
      <scheme val="minor"/>
    </font>
    <font>
      <b/>
      <sz val="1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20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7314371166112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234">
    <xf numFmtId="0" fontId="0" fillId="0" borderId="0" xfId="0"/>
    <xf numFmtId="0" fontId="4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5" fillId="4" borderId="4" xfId="1" applyNumberFormat="1" applyFont="1" applyFill="1" applyBorder="1" applyAlignment="1">
      <alignment horizontal="right"/>
    </xf>
    <xf numFmtId="14" fontId="5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7" fillId="2" borderId="4" xfId="1" applyNumberFormat="1" applyFont="1" applyFill="1" applyBorder="1"/>
    <xf numFmtId="0" fontId="7" fillId="2" borderId="4" xfId="0" applyFont="1" applyFill="1" applyBorder="1"/>
    <xf numFmtId="164" fontId="7" fillId="4" borderId="4" xfId="1" applyNumberFormat="1" applyFont="1" applyFill="1" applyBorder="1"/>
    <xf numFmtId="165" fontId="7" fillId="4" borderId="4" xfId="1" applyNumberFormat="1" applyFont="1" applyFill="1" applyBorder="1"/>
    <xf numFmtId="0" fontId="7" fillId="4" borderId="4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/>
    </xf>
    <xf numFmtId="164" fontId="8" fillId="4" borderId="4" xfId="1" applyNumberFormat="1" applyFont="1" applyFill="1" applyBorder="1"/>
    <xf numFmtId="164" fontId="8" fillId="4" borderId="4" xfId="1" applyNumberFormat="1" applyFont="1" applyFill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64" fontId="8" fillId="4" borderId="4" xfId="1" applyNumberFormat="1" applyFont="1" applyFill="1" applyBorder="1" applyAlignment="1">
      <alignment horizontal="right"/>
    </xf>
    <xf numFmtId="164" fontId="8" fillId="4" borderId="1" xfId="1" applyNumberFormat="1" applyFont="1" applyFill="1" applyBorder="1" applyAlignment="1">
      <alignment horizontal="right"/>
    </xf>
    <xf numFmtId="164" fontId="9" fillId="0" borderId="4" xfId="0" applyNumberFormat="1" applyFont="1" applyBorder="1"/>
    <xf numFmtId="164" fontId="7" fillId="0" borderId="4" xfId="0" applyNumberFormat="1" applyFont="1" applyBorder="1"/>
    <xf numFmtId="0" fontId="0" fillId="5" borderId="0" xfId="0" applyFont="1" applyFill="1"/>
    <xf numFmtId="0" fontId="0" fillId="6" borderId="4" xfId="0" applyFill="1" applyBorder="1"/>
    <xf numFmtId="0" fontId="0" fillId="6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5" borderId="0" xfId="0" applyFont="1" applyFill="1"/>
    <xf numFmtId="0" fontId="0" fillId="0" borderId="5" xfId="0" applyBorder="1" applyAlignment="1">
      <alignment horizontal="center"/>
    </xf>
    <xf numFmtId="0" fontId="0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9" borderId="0" xfId="0" applyFont="1" applyFill="1"/>
    <xf numFmtId="0" fontId="0" fillId="0" borderId="4" xfId="0" applyBorder="1"/>
    <xf numFmtId="0" fontId="0" fillId="4" borderId="4" xfId="0" applyFill="1" applyBorder="1"/>
    <xf numFmtId="14" fontId="0" fillId="0" borderId="0" xfId="0" applyNumberFormat="1"/>
    <xf numFmtId="0" fontId="0" fillId="3" borderId="0" xfId="0" applyFill="1" applyAlignment="1">
      <alignment horizontal="center"/>
    </xf>
    <xf numFmtId="0" fontId="4" fillId="9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0" fillId="0" borderId="4" xfId="0" applyNumberFormat="1" applyBorder="1"/>
    <xf numFmtId="0" fontId="0" fillId="0" borderId="4" xfId="0" applyBorder="1" applyAlignment="1">
      <alignment horizontal="left" readingOrder="1"/>
    </xf>
    <xf numFmtId="166" fontId="0" fillId="11" borderId="4" xfId="0" applyNumberFormat="1" applyFill="1" applyBorder="1"/>
    <xf numFmtId="0" fontId="0" fillId="11" borderId="4" xfId="0" applyFill="1" applyBorder="1"/>
    <xf numFmtId="0" fontId="10" fillId="4" borderId="0" xfId="0" applyFont="1" applyFill="1"/>
    <xf numFmtId="0" fontId="10" fillId="0" borderId="4" xfId="0" applyFont="1" applyBorder="1"/>
    <xf numFmtId="14" fontId="0" fillId="0" borderId="4" xfId="0" applyNumberFormat="1" applyBorder="1" applyAlignment="1">
      <alignment horizontal="right"/>
    </xf>
    <xf numFmtId="0" fontId="0" fillId="4" borderId="0" xfId="0" applyFill="1"/>
    <xf numFmtId="0" fontId="0" fillId="12" borderId="4" xfId="0" applyFill="1" applyBorder="1"/>
    <xf numFmtId="14" fontId="0" fillId="12" borderId="4" xfId="0" applyNumberFormat="1" applyFill="1" applyBorder="1" applyAlignment="1">
      <alignment horizontal="right"/>
    </xf>
    <xf numFmtId="2" fontId="0" fillId="11" borderId="4" xfId="0" applyNumberFormat="1" applyFill="1" applyBorder="1"/>
    <xf numFmtId="0" fontId="10" fillId="0" borderId="0" xfId="0" applyFont="1"/>
    <xf numFmtId="0" fontId="0" fillId="9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13" borderId="0" xfId="0" applyFill="1" applyAlignment="1">
      <alignment horizontal="center" vertical="top"/>
    </xf>
    <xf numFmtId="0" fontId="0" fillId="14" borderId="0" xfId="0" applyFill="1" applyAlignment="1">
      <alignment horizontal="center" vertical="top"/>
    </xf>
    <xf numFmtId="0" fontId="0" fillId="15" borderId="0" xfId="0" applyFill="1" applyAlignment="1">
      <alignment horizontal="center" vertical="top"/>
    </xf>
    <xf numFmtId="0" fontId="0" fillId="16" borderId="0" xfId="0" applyFill="1" applyAlignment="1">
      <alignment horizontal="center" vertical="top"/>
    </xf>
    <xf numFmtId="0" fontId="10" fillId="5" borderId="0" xfId="0" applyFont="1" applyFill="1" applyAlignment="1">
      <alignment horizontal="center" vertical="top"/>
    </xf>
    <xf numFmtId="0" fontId="10" fillId="4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5" fillId="17" borderId="4" xfId="0" applyFont="1" applyFill="1" applyBorder="1" applyAlignment="1">
      <alignment horizontal="center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9" borderId="4" xfId="0" applyFont="1" applyFill="1" applyBorder="1" applyAlignment="1">
      <alignment horizontal="center" vertical="top"/>
    </xf>
    <xf numFmtId="0" fontId="4" fillId="9" borderId="4" xfId="0" applyFont="1" applyFill="1" applyBorder="1" applyAlignment="1">
      <alignment horizontal="center" vertical="top"/>
    </xf>
    <xf numFmtId="0" fontId="11" fillId="9" borderId="4" xfId="0" applyFont="1" applyFill="1" applyBorder="1" applyAlignment="1">
      <alignment horizontal="center" vertical="top"/>
    </xf>
    <xf numFmtId="0" fontId="4" fillId="9" borderId="6" xfId="0" applyFont="1" applyFill="1" applyBorder="1" applyAlignment="1">
      <alignment vertical="top"/>
    </xf>
    <xf numFmtId="0" fontId="4" fillId="9" borderId="0" xfId="0" applyFont="1" applyFill="1" applyAlignment="1">
      <alignment vertical="top"/>
    </xf>
    <xf numFmtId="0" fontId="0" fillId="9" borderId="0" xfId="0" applyFill="1" applyAlignment="1">
      <alignment vertical="top"/>
    </xf>
    <xf numFmtId="0" fontId="5" fillId="13" borderId="6" xfId="0" applyFont="1" applyFill="1" applyBorder="1" applyAlignment="1">
      <alignment vertical="top"/>
    </xf>
    <xf numFmtId="0" fontId="5" fillId="4" borderId="4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top"/>
    </xf>
    <xf numFmtId="0" fontId="11" fillId="4" borderId="4" xfId="0" applyFont="1" applyFill="1" applyBorder="1" applyAlignment="1">
      <alignment horizontal="center" vertical="top"/>
    </xf>
    <xf numFmtId="0" fontId="5" fillId="4" borderId="6" xfId="0" applyFont="1" applyFill="1" applyBorder="1" applyAlignment="1">
      <alignment vertical="top"/>
    </xf>
    <xf numFmtId="0" fontId="4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top"/>
    </xf>
    <xf numFmtId="0" fontId="5" fillId="5" borderId="4" xfId="0" applyFont="1" applyFill="1" applyBorder="1" applyAlignment="1">
      <alignment horizontal="center" vertical="top"/>
    </xf>
    <xf numFmtId="0" fontId="5" fillId="5" borderId="6" xfId="0" applyFont="1" applyFill="1" applyBorder="1" applyAlignment="1">
      <alignment vertical="top"/>
    </xf>
    <xf numFmtId="0" fontId="4" fillId="5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4" fillId="13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top"/>
    </xf>
    <xf numFmtId="0" fontId="5" fillId="13" borderId="4" xfId="0" applyFont="1" applyFill="1" applyBorder="1" applyAlignment="1">
      <alignment horizontal="center" vertical="top"/>
    </xf>
    <xf numFmtId="0" fontId="4" fillId="13" borderId="0" xfId="0" applyFont="1" applyFill="1" applyAlignment="1">
      <alignment vertical="top"/>
    </xf>
    <xf numFmtId="0" fontId="0" fillId="13" borderId="0" xfId="0" applyFill="1" applyAlignment="1">
      <alignment vertical="top"/>
    </xf>
    <xf numFmtId="0" fontId="11" fillId="5" borderId="4" xfId="0" applyFont="1" applyFill="1" applyBorder="1" applyAlignment="1">
      <alignment horizontal="center" vertical="top"/>
    </xf>
    <xf numFmtId="0" fontId="5" fillId="9" borderId="6" xfId="0" applyFont="1" applyFill="1" applyBorder="1" applyAlignment="1">
      <alignment vertical="top"/>
    </xf>
    <xf numFmtId="0" fontId="11" fillId="13" borderId="4" xfId="0" applyFont="1" applyFill="1" applyBorder="1" applyAlignment="1">
      <alignment horizontal="center" vertical="top"/>
    </xf>
    <xf numFmtId="0" fontId="4" fillId="18" borderId="4" xfId="0" applyFont="1" applyFill="1" applyBorder="1" applyAlignment="1">
      <alignment horizontal="center" vertical="top"/>
    </xf>
    <xf numFmtId="0" fontId="5" fillId="12" borderId="6" xfId="0" applyFont="1" applyFill="1" applyBorder="1" applyAlignment="1">
      <alignment vertical="top"/>
    </xf>
    <xf numFmtId="0" fontId="4" fillId="14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top"/>
    </xf>
    <xf numFmtId="0" fontId="5" fillId="14" borderId="4" xfId="0" applyFont="1" applyFill="1" applyBorder="1" applyAlignment="1">
      <alignment horizontal="center" vertical="top"/>
    </xf>
    <xf numFmtId="0" fontId="5" fillId="14" borderId="6" xfId="0" applyFont="1" applyFill="1" applyBorder="1" applyAlignment="1">
      <alignment vertical="top"/>
    </xf>
    <xf numFmtId="0" fontId="4" fillId="14" borderId="0" xfId="0" applyFont="1" applyFill="1" applyAlignment="1">
      <alignment vertical="top"/>
    </xf>
    <xf numFmtId="0" fontId="0" fillId="14" borderId="0" xfId="0" applyFill="1" applyAlignment="1">
      <alignment vertical="top"/>
    </xf>
    <xf numFmtId="0" fontId="4" fillId="15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top"/>
    </xf>
    <xf numFmtId="0" fontId="5" fillId="15" borderId="4" xfId="0" applyFont="1" applyFill="1" applyBorder="1" applyAlignment="1">
      <alignment horizontal="center" vertical="top"/>
    </xf>
    <xf numFmtId="0" fontId="5" fillId="15" borderId="6" xfId="0" applyFont="1" applyFill="1" applyBorder="1" applyAlignment="1">
      <alignment vertical="top"/>
    </xf>
    <xf numFmtId="0" fontId="4" fillId="15" borderId="0" xfId="0" applyFont="1" applyFill="1" applyAlignment="1">
      <alignment vertical="top"/>
    </xf>
    <xf numFmtId="0" fontId="0" fillId="15" borderId="0" xfId="0" applyFill="1" applyAlignment="1">
      <alignment vertical="top"/>
    </xf>
    <xf numFmtId="0" fontId="0" fillId="13" borderId="4" xfId="0" applyFill="1" applyBorder="1" applyAlignment="1">
      <alignment horizontal="center" vertical="top"/>
    </xf>
    <xf numFmtId="0" fontId="0" fillId="13" borderId="10" xfId="0" applyFill="1" applyBorder="1" applyAlignment="1">
      <alignment horizontal="center" vertical="top"/>
    </xf>
    <xf numFmtId="0" fontId="0" fillId="9" borderId="10" xfId="0" applyFill="1" applyBorder="1" applyAlignment="1">
      <alignment horizontal="center" vertical="top"/>
    </xf>
    <xf numFmtId="0" fontId="0" fillId="16" borderId="10" xfId="0" applyFill="1" applyBorder="1" applyAlignment="1">
      <alignment horizontal="center" vertical="top"/>
    </xf>
    <xf numFmtId="0" fontId="4" fillId="16" borderId="4" xfId="0" applyFont="1" applyFill="1" applyBorder="1" applyAlignment="1">
      <alignment horizontal="center" vertical="top"/>
    </xf>
    <xf numFmtId="0" fontId="5" fillId="16" borderId="4" xfId="0" applyFont="1" applyFill="1" applyBorder="1" applyAlignment="1">
      <alignment horizontal="center" vertical="top"/>
    </xf>
    <xf numFmtId="0" fontId="4" fillId="16" borderId="0" xfId="0" applyFont="1" applyFill="1" applyAlignment="1">
      <alignment vertical="top"/>
    </xf>
    <xf numFmtId="0" fontId="0" fillId="16" borderId="0" xfId="0" applyFill="1" applyAlignment="1">
      <alignment vertical="top"/>
    </xf>
    <xf numFmtId="0" fontId="0" fillId="5" borderId="10" xfId="0" applyFont="1" applyFill="1" applyBorder="1" applyAlignment="1">
      <alignment horizontal="center" vertical="top"/>
    </xf>
    <xf numFmtId="0" fontId="10" fillId="5" borderId="10" xfId="0" applyFont="1" applyFill="1" applyBorder="1" applyAlignment="1">
      <alignment horizontal="center" vertical="top"/>
    </xf>
    <xf numFmtId="0" fontId="5" fillId="5" borderId="0" xfId="0" applyFont="1" applyFill="1" applyAlignment="1">
      <alignment vertical="top"/>
    </xf>
    <xf numFmtId="0" fontId="10" fillId="5" borderId="0" xfId="0" applyFont="1" applyFill="1" applyAlignment="1">
      <alignment vertical="top"/>
    </xf>
    <xf numFmtId="0" fontId="0" fillId="14" borderId="10" xfId="0" applyFill="1" applyBorder="1" applyAlignment="1">
      <alignment horizontal="center" vertical="top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top"/>
    </xf>
    <xf numFmtId="0" fontId="10" fillId="4" borderId="0" xfId="0" applyFont="1" applyFill="1" applyAlignment="1">
      <alignment vertical="top"/>
    </xf>
    <xf numFmtId="0" fontId="5" fillId="5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top"/>
    </xf>
    <xf numFmtId="14" fontId="0" fillId="0" borderId="4" xfId="0" applyNumberFormat="1" applyBorder="1"/>
    <xf numFmtId="14" fontId="0" fillId="0" borderId="4" xfId="0" applyNumberFormat="1" applyFont="1" applyBorder="1"/>
    <xf numFmtId="0" fontId="0" fillId="18" borderId="4" xfId="0" applyFill="1" applyBorder="1"/>
    <xf numFmtId="0" fontId="0" fillId="0" borderId="0" xfId="0" applyAlignment="1">
      <alignment horizontal="right" readingOrder="2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right" readingOrder="2"/>
    </xf>
    <xf numFmtId="0" fontId="0" fillId="4" borderId="11" xfId="0" applyFill="1" applyBorder="1"/>
    <xf numFmtId="0" fontId="10" fillId="0" borderId="11" xfId="0" applyFont="1" applyBorder="1"/>
    <xf numFmtId="14" fontId="0" fillId="0" borderId="11" xfId="0" applyNumberFormat="1" applyBorder="1"/>
    <xf numFmtId="14" fontId="0" fillId="0" borderId="11" xfId="0" applyNumberFormat="1" applyFont="1" applyBorder="1" applyAlignment="1">
      <alignment horizontal="right" readingOrder="2"/>
    </xf>
    <xf numFmtId="0" fontId="7" fillId="3" borderId="11" xfId="0" applyFont="1" applyFill="1" applyBorder="1" applyAlignment="1">
      <alignment horizontal="center" vertical="center"/>
    </xf>
    <xf numFmtId="166" fontId="7" fillId="3" borderId="12" xfId="0" applyNumberFormat="1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0" fillId="4" borderId="11" xfId="0" applyFill="1" applyBorder="1" applyAlignment="1">
      <alignment horizontal="right"/>
    </xf>
    <xf numFmtId="2" fontId="0" fillId="0" borderId="4" xfId="0" applyNumberFormat="1" applyBorder="1"/>
    <xf numFmtId="0" fontId="0" fillId="0" borderId="1" xfId="0" applyBorder="1"/>
    <xf numFmtId="2" fontId="0" fillId="11" borderId="1" xfId="0" applyNumberFormat="1" applyFill="1" applyBorder="1"/>
    <xf numFmtId="166" fontId="0" fillId="0" borderId="0" xfId="0" applyNumberFormat="1"/>
    <xf numFmtId="0" fontId="12" fillId="0" borderId="0" xfId="0" applyFont="1"/>
    <xf numFmtId="0" fontId="0" fillId="9" borderId="0" xfId="0" applyFill="1"/>
    <xf numFmtId="0" fontId="2" fillId="0" borderId="0" xfId="0" applyFont="1"/>
    <xf numFmtId="0" fontId="10" fillId="9" borderId="0" xfId="0" applyFont="1" applyFill="1"/>
    <xf numFmtId="0" fontId="22" fillId="4" borderId="4" xfId="0" applyFont="1" applyFill="1" applyBorder="1" applyAlignment="1">
      <alignment horizontal="center" vertical="top"/>
    </xf>
    <xf numFmtId="0" fontId="21" fillId="0" borderId="11" xfId="0" applyFont="1" applyBorder="1"/>
    <xf numFmtId="0" fontId="5" fillId="12" borderId="4" xfId="0" applyFont="1" applyFill="1" applyBorder="1" applyAlignment="1">
      <alignment horizontal="center" vertical="top"/>
    </xf>
    <xf numFmtId="0" fontId="4" fillId="12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top"/>
    </xf>
    <xf numFmtId="0" fontId="4" fillId="12" borderId="0" xfId="0" applyFont="1" applyFill="1" applyAlignment="1">
      <alignment vertical="top"/>
    </xf>
    <xf numFmtId="0" fontId="0" fillId="12" borderId="0" xfId="0" applyFill="1" applyAlignment="1">
      <alignment vertical="top"/>
    </xf>
    <xf numFmtId="0" fontId="0" fillId="12" borderId="0" xfId="0" applyFill="1" applyAlignment="1">
      <alignment horizontal="center" vertical="top"/>
    </xf>
    <xf numFmtId="0" fontId="22" fillId="5" borderId="10" xfId="0" applyFont="1" applyFill="1" applyBorder="1" applyAlignment="1">
      <alignment horizontal="center" vertical="top"/>
    </xf>
    <xf numFmtId="0" fontId="18" fillId="5" borderId="4" xfId="0" applyFont="1" applyFill="1" applyBorder="1" applyAlignment="1">
      <alignment horizontal="center" vertical="top"/>
    </xf>
    <xf numFmtId="14" fontId="1" fillId="0" borderId="11" xfId="0" applyNumberFormat="1" applyFont="1" applyBorder="1"/>
    <xf numFmtId="0" fontId="10" fillId="12" borderId="11" xfId="0" applyFont="1" applyFill="1" applyBorder="1"/>
    <xf numFmtId="14" fontId="0" fillId="0" borderId="11" xfId="0" applyNumberFormat="1" applyBorder="1" applyAlignment="1">
      <alignment horizontal="left"/>
    </xf>
    <xf numFmtId="4" fontId="0" fillId="2" borderId="11" xfId="0" applyNumberFormat="1" applyFill="1" applyBorder="1" applyAlignment="1">
      <alignment horizontal="center"/>
    </xf>
    <xf numFmtId="0" fontId="0" fillId="12" borderId="11" xfId="0" applyFill="1" applyBorder="1"/>
    <xf numFmtId="0" fontId="0" fillId="10" borderId="4" xfId="0" applyFill="1" applyBorder="1"/>
    <xf numFmtId="0" fontId="0" fillId="2" borderId="4" xfId="0" applyFill="1" applyBorder="1" applyAlignment="1">
      <alignment horizont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19" borderId="4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0" xfId="0" applyFont="1" applyFill="1" applyAlignment="1">
      <alignment horizontal="center"/>
    </xf>
    <xf numFmtId="0" fontId="0" fillId="0" borderId="4" xfId="0" applyFont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13" borderId="11" xfId="0" applyFill="1" applyBorder="1"/>
    <xf numFmtId="0" fontId="10" fillId="13" borderId="1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O4:T18" totalsRowShown="0">
  <autoFilter ref="O4:T18"/>
  <tableColumns count="6">
    <tableColumn id="1" name="اسم الزبون "/>
    <tableColumn id="2" name="تاريخ الاستحقاق "/>
    <tableColumn id="3" name="مبلغ الاستحقاق "/>
    <tableColumn id="4" name="اجمالي المبلغ المطلوب "/>
    <tableColumn id="5" name="المبلغ المدفوع "/>
    <tableColumn id="6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"/>
  <sheetViews>
    <sheetView workbookViewId="0">
      <selection activeCell="J23" sqref="J23"/>
    </sheetView>
  </sheetViews>
  <sheetFormatPr defaultColWidth="9" defaultRowHeight="14.25"/>
  <cols>
    <col min="1" max="1" width="13.125" customWidth="1"/>
  </cols>
  <sheetData>
    <row r="1" spans="1:5">
      <c r="A1" s="167" t="s">
        <v>0</v>
      </c>
      <c r="B1" s="167"/>
    </row>
    <row r="2" spans="1:5">
      <c r="A2" s="33" t="s">
        <v>1</v>
      </c>
      <c r="B2" s="33">
        <v>13000</v>
      </c>
    </row>
    <row r="3" spans="1:5">
      <c r="A3" s="33" t="s">
        <v>2</v>
      </c>
      <c r="B3" s="33">
        <v>13000</v>
      </c>
    </row>
    <row r="4" spans="1:5">
      <c r="A4" s="33" t="s">
        <v>3</v>
      </c>
      <c r="B4" s="33">
        <v>13000</v>
      </c>
      <c r="E4" s="147"/>
    </row>
    <row r="5" spans="1:5">
      <c r="B5">
        <f>SUM(B2:B4)</f>
        <v>39000</v>
      </c>
    </row>
  </sheetData>
  <mergeCells count="1">
    <mergeCell ref="A1:B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3" sqref="A3"/>
    </sheetView>
  </sheetViews>
  <sheetFormatPr defaultColWidth="9" defaultRowHeight="14.25"/>
  <cols>
    <col min="6" max="6" width="10.75" customWidth="1"/>
  </cols>
  <sheetData>
    <row r="1" spans="1:6" ht="15">
      <c r="A1" s="168" t="s">
        <v>4</v>
      </c>
      <c r="B1" s="169"/>
      <c r="C1" s="169"/>
      <c r="D1" s="169"/>
      <c r="E1" s="169"/>
      <c r="F1" s="169"/>
    </row>
    <row r="2" spans="1:6" ht="15">
      <c r="A2" s="39" t="s">
        <v>5</v>
      </c>
      <c r="B2" s="40"/>
      <c r="C2" s="170" t="s">
        <v>6</v>
      </c>
      <c r="D2" s="171"/>
      <c r="E2" s="172"/>
      <c r="F2" s="39" t="s">
        <v>7</v>
      </c>
    </row>
    <row r="3" spans="1:6">
      <c r="A3" s="143"/>
      <c r="B3" s="33"/>
      <c r="C3" s="173"/>
      <c r="D3" s="173"/>
      <c r="E3" s="173"/>
      <c r="F3" s="33"/>
    </row>
    <row r="4" spans="1:6">
      <c r="A4" s="143"/>
      <c r="B4" s="144"/>
      <c r="C4" s="174"/>
      <c r="D4" s="175"/>
      <c r="E4" s="176"/>
      <c r="F4" s="33"/>
    </row>
    <row r="5" spans="1:6">
      <c r="A5" s="143"/>
      <c r="B5" s="144"/>
      <c r="C5" s="174"/>
      <c r="D5" s="175"/>
      <c r="E5" s="176"/>
      <c r="F5" s="33"/>
    </row>
    <row r="6" spans="1:6">
      <c r="A6" s="143"/>
      <c r="B6" s="144"/>
      <c r="C6" s="174"/>
      <c r="D6" s="175"/>
      <c r="E6" s="176"/>
      <c r="F6" s="33"/>
    </row>
    <row r="7" spans="1:6">
      <c r="A7" s="143"/>
      <c r="B7" s="144"/>
      <c r="C7" s="174"/>
      <c r="D7" s="175"/>
      <c r="E7" s="176"/>
      <c r="F7" s="33"/>
    </row>
    <row r="8" spans="1:6">
      <c r="A8" s="143"/>
      <c r="B8" s="144"/>
      <c r="C8" s="174"/>
      <c r="D8" s="175"/>
      <c r="E8" s="176"/>
      <c r="F8" s="127"/>
    </row>
    <row r="9" spans="1:6">
      <c r="A9" s="143"/>
      <c r="B9" s="144"/>
      <c r="C9" s="174"/>
      <c r="D9" s="175"/>
      <c r="E9" s="176"/>
      <c r="F9" s="127"/>
    </row>
    <row r="10" spans="1:6">
      <c r="A10" s="143"/>
      <c r="B10" s="144"/>
      <c r="C10" s="174"/>
      <c r="D10" s="175"/>
      <c r="E10" s="176"/>
      <c r="F10" s="127"/>
    </row>
    <row r="11" spans="1:6">
      <c r="A11" s="143"/>
      <c r="B11" s="144"/>
      <c r="C11" s="174"/>
      <c r="D11" s="175"/>
      <c r="E11" s="176"/>
      <c r="F11" s="127"/>
    </row>
    <row r="12" spans="1:6">
      <c r="A12" s="143"/>
      <c r="B12" s="144"/>
      <c r="C12" s="174"/>
      <c r="D12" s="175"/>
      <c r="E12" s="176"/>
      <c r="F12" s="47"/>
    </row>
    <row r="13" spans="1:6">
      <c r="A13" s="143"/>
      <c r="B13" s="144"/>
      <c r="C13" s="174"/>
      <c r="D13" s="175"/>
      <c r="E13" s="176"/>
      <c r="F13" s="127"/>
    </row>
    <row r="14" spans="1:6">
      <c r="A14" s="143"/>
      <c r="B14" s="144"/>
      <c r="C14" s="174"/>
      <c r="D14" s="175"/>
      <c r="E14" s="176"/>
      <c r="F14" s="127"/>
    </row>
    <row r="15" spans="1:6">
      <c r="A15" s="143"/>
      <c r="B15" s="144"/>
      <c r="C15" s="174"/>
      <c r="D15" s="175"/>
      <c r="E15" s="176"/>
      <c r="F15" s="127"/>
    </row>
    <row r="16" spans="1:6">
      <c r="A16" s="143"/>
      <c r="B16" s="144"/>
      <c r="C16" s="174"/>
      <c r="D16" s="175"/>
      <c r="E16" s="176"/>
      <c r="F16" s="127"/>
    </row>
    <row r="17" spans="1:6">
      <c r="A17" s="143"/>
      <c r="B17" s="144"/>
      <c r="C17" s="174"/>
      <c r="D17" s="175"/>
      <c r="E17" s="176"/>
      <c r="F17" s="127"/>
    </row>
    <row r="18" spans="1:6">
      <c r="A18" s="143"/>
      <c r="B18" s="144"/>
      <c r="C18" s="174"/>
      <c r="D18" s="175"/>
      <c r="E18" s="176"/>
      <c r="F18" s="127"/>
    </row>
    <row r="19" spans="1:6">
      <c r="A19" s="143"/>
      <c r="B19" s="144"/>
      <c r="C19" s="174"/>
      <c r="D19" s="175"/>
      <c r="E19" s="176"/>
      <c r="F19" s="127"/>
    </row>
    <row r="20" spans="1:6">
      <c r="A20" s="51">
        <f>SUM(A3:A19)</f>
        <v>0</v>
      </c>
      <c r="B20" s="145">
        <f>SUM(B8:B19)</f>
        <v>0</v>
      </c>
      <c r="C20" s="177" t="s">
        <v>8</v>
      </c>
      <c r="D20" s="178"/>
      <c r="E20" s="179"/>
      <c r="F20" s="44"/>
    </row>
    <row r="21" spans="1:6">
      <c r="A21" t="s">
        <v>9</v>
      </c>
      <c r="B21" s="146">
        <f>A20-B20</f>
        <v>0</v>
      </c>
    </row>
  </sheetData>
  <mergeCells count="20">
    <mergeCell ref="C16:E16"/>
    <mergeCell ref="C17:E17"/>
    <mergeCell ref="C18:E18"/>
    <mergeCell ref="C19:E19"/>
    <mergeCell ref="C20:E20"/>
    <mergeCell ref="C11:E11"/>
    <mergeCell ref="C12:E12"/>
    <mergeCell ref="C13:E13"/>
    <mergeCell ref="C14:E14"/>
    <mergeCell ref="C15:E15"/>
    <mergeCell ref="C6:E6"/>
    <mergeCell ref="C7:E7"/>
    <mergeCell ref="C8:E8"/>
    <mergeCell ref="C9:E9"/>
    <mergeCell ref="C10:E10"/>
    <mergeCell ref="A1:F1"/>
    <mergeCell ref="C2:E2"/>
    <mergeCell ref="C3:E3"/>
    <mergeCell ref="C4:E4"/>
    <mergeCell ref="C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23"/>
  <sheetViews>
    <sheetView rightToLeft="1" tabSelected="1" topLeftCell="C13" zoomScale="98" zoomScaleNormal="98" workbookViewId="0">
      <selection activeCell="G30" sqref="G30"/>
    </sheetView>
  </sheetViews>
  <sheetFormatPr defaultColWidth="9" defaultRowHeight="14.25"/>
  <cols>
    <col min="3" max="3" width="45.375" customWidth="1"/>
    <col min="4" max="4" width="14.25" customWidth="1"/>
    <col min="6" max="6" width="15" customWidth="1"/>
    <col min="7" max="7" width="12.875" customWidth="1"/>
    <col min="8" max="8" width="46" customWidth="1"/>
    <col min="9" max="9" width="17.25" style="130" customWidth="1"/>
    <col min="11" max="11" width="11.75" customWidth="1"/>
  </cols>
  <sheetData>
    <row r="1" spans="1:15">
      <c r="A1" s="180" t="s">
        <v>10</v>
      </c>
      <c r="B1" s="181"/>
      <c r="C1" s="164">
        <v>9375.65</v>
      </c>
    </row>
    <row r="4" spans="1:15">
      <c r="A4" s="131" t="s">
        <v>11</v>
      </c>
      <c r="B4" s="131" t="s">
        <v>12</v>
      </c>
      <c r="C4" s="131" t="s">
        <v>6</v>
      </c>
      <c r="D4" s="132" t="s">
        <v>7</v>
      </c>
      <c r="F4" s="133" t="s">
        <v>13</v>
      </c>
      <c r="G4" s="133" t="s">
        <v>12</v>
      </c>
      <c r="H4" s="133" t="s">
        <v>6</v>
      </c>
      <c r="I4" s="134" t="s">
        <v>7</v>
      </c>
    </row>
    <row r="5" spans="1:15">
      <c r="A5" s="135"/>
      <c r="B5" s="136">
        <v>50</v>
      </c>
      <c r="C5" s="152" t="s">
        <v>318</v>
      </c>
      <c r="D5" s="161" t="s">
        <v>314</v>
      </c>
      <c r="F5" s="133"/>
      <c r="G5" s="135">
        <v>115</v>
      </c>
      <c r="H5" s="136" t="s">
        <v>323</v>
      </c>
      <c r="I5" s="138">
        <v>46028</v>
      </c>
    </row>
    <row r="6" spans="1:15" ht="15.75">
      <c r="A6" s="133"/>
      <c r="B6" s="162">
        <v>82</v>
      </c>
      <c r="C6" s="136" t="s">
        <v>316</v>
      </c>
      <c r="D6" s="137" t="s">
        <v>314</v>
      </c>
      <c r="F6" s="133"/>
      <c r="G6" s="135">
        <v>9.1999999999999993</v>
      </c>
      <c r="H6" s="136" t="s">
        <v>324</v>
      </c>
      <c r="I6" s="138">
        <v>46028</v>
      </c>
      <c r="J6" s="139" t="s">
        <v>9</v>
      </c>
      <c r="K6" s="140">
        <f>C1-G123+B123</f>
        <v>15712.099999999999</v>
      </c>
      <c r="L6" s="141"/>
    </row>
    <row r="7" spans="1:15">
      <c r="A7" s="133"/>
      <c r="B7" s="136">
        <v>96</v>
      </c>
      <c r="C7" s="136" t="s">
        <v>321</v>
      </c>
      <c r="D7" s="163">
        <v>46028</v>
      </c>
      <c r="F7" s="133"/>
      <c r="G7" s="135">
        <v>23</v>
      </c>
      <c r="H7" s="136" t="s">
        <v>326</v>
      </c>
      <c r="I7" s="138">
        <v>46028</v>
      </c>
      <c r="O7" s="133" t="s">
        <v>15</v>
      </c>
    </row>
    <row r="8" spans="1:15">
      <c r="A8" s="133"/>
      <c r="B8" s="136">
        <v>12273</v>
      </c>
      <c r="C8" s="136" t="s">
        <v>322</v>
      </c>
      <c r="D8" s="137">
        <v>46028</v>
      </c>
      <c r="F8" s="133"/>
      <c r="G8" s="135">
        <v>50</v>
      </c>
      <c r="H8" s="136" t="s">
        <v>327</v>
      </c>
      <c r="I8" s="138">
        <v>46028</v>
      </c>
    </row>
    <row r="9" spans="1:15">
      <c r="A9" s="133"/>
      <c r="B9" s="136">
        <v>100</v>
      </c>
      <c r="C9" s="136" t="s">
        <v>342</v>
      </c>
      <c r="D9" s="137">
        <v>46059</v>
      </c>
      <c r="F9" s="133"/>
      <c r="G9" s="135">
        <v>20</v>
      </c>
      <c r="H9" s="136" t="s">
        <v>329</v>
      </c>
      <c r="I9" s="138">
        <v>46028</v>
      </c>
    </row>
    <row r="10" spans="1:15">
      <c r="A10" s="133"/>
      <c r="B10" s="136">
        <v>50</v>
      </c>
      <c r="C10" s="136" t="s">
        <v>344</v>
      </c>
      <c r="D10" s="137">
        <v>46059</v>
      </c>
      <c r="F10" s="133"/>
      <c r="G10" s="135">
        <v>125</v>
      </c>
      <c r="H10" s="136" t="s">
        <v>330</v>
      </c>
      <c r="I10" s="138">
        <v>46028</v>
      </c>
      <c r="J10" s="26"/>
    </row>
    <row r="11" spans="1:15">
      <c r="A11" s="133"/>
      <c r="B11" s="136">
        <v>100</v>
      </c>
      <c r="C11" s="136" t="s">
        <v>351</v>
      </c>
      <c r="D11" s="137">
        <v>46209</v>
      </c>
      <c r="F11" s="133"/>
      <c r="G11" s="135"/>
      <c r="H11" s="136"/>
      <c r="I11" s="138"/>
      <c r="J11" s="26"/>
    </row>
    <row r="12" spans="1:15">
      <c r="A12" s="135"/>
      <c r="B12" s="233">
        <v>120</v>
      </c>
      <c r="C12" s="136" t="s">
        <v>354</v>
      </c>
      <c r="D12" s="137">
        <v>46209</v>
      </c>
      <c r="F12" s="133"/>
      <c r="G12" s="135">
        <v>805</v>
      </c>
      <c r="H12" s="136" t="s">
        <v>331</v>
      </c>
      <c r="I12" s="138">
        <v>46028</v>
      </c>
      <c r="J12" s="26"/>
    </row>
    <row r="13" spans="1:15">
      <c r="A13" s="133"/>
      <c r="B13" s="136"/>
      <c r="C13" s="136"/>
      <c r="D13" s="137"/>
      <c r="F13" s="133"/>
      <c r="G13" s="135">
        <v>15</v>
      </c>
      <c r="H13" s="136" t="s">
        <v>332</v>
      </c>
      <c r="I13" s="138">
        <v>46028</v>
      </c>
      <c r="J13" s="26"/>
    </row>
    <row r="14" spans="1:15">
      <c r="A14" s="136"/>
      <c r="B14" s="136"/>
      <c r="C14" s="136"/>
      <c r="D14" s="137"/>
      <c r="F14" s="133"/>
      <c r="G14" s="135">
        <v>90</v>
      </c>
      <c r="H14" s="136" t="s">
        <v>333</v>
      </c>
      <c r="I14" s="138">
        <v>46028</v>
      </c>
      <c r="J14" s="26"/>
    </row>
    <row r="15" spans="1:15">
      <c r="A15" s="133"/>
      <c r="B15" s="136"/>
      <c r="C15" s="136"/>
      <c r="D15" s="137"/>
      <c r="F15" s="133"/>
      <c r="G15" s="135">
        <v>400</v>
      </c>
      <c r="H15" s="136" t="s">
        <v>334</v>
      </c>
      <c r="I15" s="138">
        <v>46028</v>
      </c>
      <c r="J15" s="26"/>
    </row>
    <row r="16" spans="1:15">
      <c r="A16" s="136"/>
      <c r="B16" s="136"/>
      <c r="C16" s="136"/>
      <c r="D16" s="137"/>
      <c r="F16" s="133"/>
      <c r="G16" s="135">
        <v>400</v>
      </c>
      <c r="H16" s="136" t="s">
        <v>336</v>
      </c>
      <c r="I16" s="138">
        <v>46028</v>
      </c>
      <c r="J16" s="26"/>
    </row>
    <row r="17" spans="1:10">
      <c r="A17" s="135"/>
      <c r="B17" s="136"/>
      <c r="C17" s="136"/>
      <c r="D17" s="137"/>
      <c r="F17" s="133"/>
      <c r="G17" s="135">
        <v>805</v>
      </c>
      <c r="H17" s="136" t="s">
        <v>337</v>
      </c>
      <c r="I17" s="138">
        <v>46028</v>
      </c>
      <c r="J17" s="26"/>
    </row>
    <row r="18" spans="1:10">
      <c r="B18" s="136"/>
      <c r="C18" s="136"/>
      <c r="D18" s="137"/>
      <c r="F18" s="133"/>
      <c r="G18" s="135">
        <v>10</v>
      </c>
      <c r="H18" s="136" t="s">
        <v>338</v>
      </c>
      <c r="I18" s="138">
        <v>46059</v>
      </c>
      <c r="J18" s="26"/>
    </row>
    <row r="19" spans="1:10">
      <c r="A19" s="133"/>
      <c r="B19" s="136"/>
      <c r="C19" s="136"/>
      <c r="D19" s="137"/>
      <c r="F19" s="133">
        <v>5</v>
      </c>
      <c r="G19" s="165">
        <v>20</v>
      </c>
      <c r="H19" s="136" t="s">
        <v>340</v>
      </c>
      <c r="I19" s="138">
        <v>46059</v>
      </c>
      <c r="J19" s="26"/>
    </row>
    <row r="20" spans="1:10">
      <c r="A20" s="133"/>
      <c r="B20" s="136"/>
      <c r="C20" s="136"/>
      <c r="D20" s="137"/>
      <c r="F20" s="165">
        <v>571</v>
      </c>
      <c r="G20" s="135"/>
      <c r="H20" s="136" t="s">
        <v>353</v>
      </c>
      <c r="I20" s="138"/>
      <c r="J20" s="26"/>
    </row>
    <row r="21" spans="1:10">
      <c r="A21" s="133"/>
      <c r="B21" s="136"/>
      <c r="C21" s="136"/>
      <c r="D21" s="137"/>
      <c r="F21" s="133"/>
      <c r="G21" s="135">
        <v>6</v>
      </c>
      <c r="H21" s="136" t="s">
        <v>343</v>
      </c>
      <c r="I21" s="138">
        <v>46059</v>
      </c>
      <c r="J21" s="26"/>
    </row>
    <row r="22" spans="1:10">
      <c r="A22" s="133"/>
      <c r="B22" s="136"/>
      <c r="C22" s="136"/>
      <c r="D22" s="137"/>
      <c r="F22" s="133"/>
      <c r="G22" s="135">
        <v>146</v>
      </c>
      <c r="H22" s="136" t="s">
        <v>347</v>
      </c>
      <c r="I22" s="138">
        <v>46118</v>
      </c>
      <c r="J22" s="26"/>
    </row>
    <row r="23" spans="1:10">
      <c r="A23" s="133"/>
      <c r="B23" s="136"/>
      <c r="C23" s="136"/>
      <c r="D23" s="137"/>
      <c r="F23" s="133"/>
      <c r="G23" s="135">
        <v>55</v>
      </c>
      <c r="H23" s="136" t="s">
        <v>348</v>
      </c>
      <c r="I23" s="138">
        <v>46118</v>
      </c>
      <c r="J23" s="26"/>
    </row>
    <row r="24" spans="1:10">
      <c r="A24" s="133"/>
      <c r="B24" s="136"/>
      <c r="C24" s="136"/>
      <c r="D24" s="137"/>
      <c r="F24" s="133"/>
      <c r="G24" s="135">
        <v>18.55</v>
      </c>
      <c r="H24" s="136" t="s">
        <v>349</v>
      </c>
      <c r="I24" s="138">
        <v>46118</v>
      </c>
      <c r="J24" s="26"/>
    </row>
    <row r="25" spans="1:10">
      <c r="A25" s="133"/>
      <c r="B25" s="136"/>
      <c r="C25" s="136"/>
      <c r="D25" s="137"/>
      <c r="F25" s="133"/>
      <c r="G25" s="135">
        <v>181.8</v>
      </c>
      <c r="H25" s="136" t="s">
        <v>350</v>
      </c>
      <c r="I25" s="138">
        <v>46118</v>
      </c>
      <c r="J25" s="26"/>
    </row>
    <row r="26" spans="1:10">
      <c r="A26" s="133"/>
      <c r="B26" s="136"/>
      <c r="C26" s="136"/>
      <c r="D26" s="137"/>
      <c r="F26" s="135"/>
      <c r="G26" s="135">
        <v>250</v>
      </c>
      <c r="H26" s="136" t="s">
        <v>352</v>
      </c>
      <c r="I26" s="138">
        <v>46209</v>
      </c>
      <c r="J26" s="26"/>
    </row>
    <row r="27" spans="1:10">
      <c r="A27" s="133"/>
      <c r="B27" s="136"/>
      <c r="C27" s="136"/>
      <c r="D27" s="137"/>
      <c r="F27" s="136"/>
      <c r="G27" s="135">
        <v>60</v>
      </c>
      <c r="H27" s="136" t="s">
        <v>355</v>
      </c>
      <c r="I27" s="138">
        <v>46209</v>
      </c>
      <c r="J27" s="26"/>
    </row>
    <row r="28" spans="1:10">
      <c r="A28" s="133"/>
      <c r="B28" s="136"/>
      <c r="C28" s="136"/>
      <c r="D28" s="137"/>
      <c r="F28" s="133"/>
      <c r="G28" s="135">
        <v>2760</v>
      </c>
      <c r="H28" s="136" t="s">
        <v>356</v>
      </c>
      <c r="I28" s="138">
        <v>46209</v>
      </c>
      <c r="J28" s="26"/>
    </row>
    <row r="29" spans="1:10">
      <c r="A29" s="133"/>
      <c r="B29" s="136"/>
      <c r="C29" s="136"/>
      <c r="D29" s="137"/>
      <c r="F29" s="135"/>
      <c r="G29" s="232">
        <v>120</v>
      </c>
      <c r="H29" s="136" t="s">
        <v>357</v>
      </c>
      <c r="I29" s="138">
        <v>46209</v>
      </c>
      <c r="J29" s="26"/>
    </row>
    <row r="30" spans="1:10">
      <c r="A30" s="133"/>
      <c r="B30" s="136"/>
      <c r="C30" s="136"/>
      <c r="D30" s="137"/>
      <c r="F30" s="133"/>
      <c r="G30" s="165">
        <v>50</v>
      </c>
      <c r="H30" s="136" t="s">
        <v>358</v>
      </c>
      <c r="I30" s="138">
        <v>46209</v>
      </c>
      <c r="J30" s="26"/>
    </row>
    <row r="31" spans="1:10">
      <c r="A31" s="135"/>
      <c r="B31" s="136"/>
      <c r="C31" s="136"/>
      <c r="D31" s="137"/>
      <c r="F31" s="133"/>
      <c r="G31" s="135"/>
      <c r="H31" s="136"/>
      <c r="I31" s="138"/>
      <c r="J31" s="26"/>
    </row>
    <row r="32" spans="1:10">
      <c r="A32" s="133"/>
      <c r="B32" s="136"/>
      <c r="C32" s="136"/>
      <c r="D32" s="137"/>
      <c r="F32" s="133"/>
      <c r="G32" s="135"/>
      <c r="H32" s="136"/>
      <c r="I32" s="138"/>
      <c r="J32" s="26"/>
    </row>
    <row r="33" spans="1:10">
      <c r="A33" s="135"/>
      <c r="B33" s="136"/>
      <c r="C33" s="136"/>
      <c r="D33" s="137"/>
      <c r="F33" s="133"/>
      <c r="G33" s="135"/>
      <c r="H33" s="136"/>
      <c r="I33" s="138"/>
      <c r="J33" s="26"/>
    </row>
    <row r="34" spans="1:10">
      <c r="A34" s="133"/>
      <c r="B34" s="136"/>
      <c r="C34" s="136"/>
      <c r="D34" s="137"/>
      <c r="F34" s="133"/>
      <c r="G34" s="135"/>
      <c r="H34" s="136"/>
      <c r="I34" s="138"/>
      <c r="J34" s="26"/>
    </row>
    <row r="35" spans="1:10">
      <c r="A35" s="133"/>
      <c r="B35" s="136"/>
      <c r="C35" s="136"/>
      <c r="D35" s="137"/>
      <c r="F35" s="133"/>
      <c r="G35" s="135"/>
      <c r="H35" s="136"/>
      <c r="I35" s="138"/>
      <c r="J35" s="26"/>
    </row>
    <row r="36" spans="1:10">
      <c r="A36" s="133"/>
      <c r="B36" s="136"/>
      <c r="C36" s="136"/>
      <c r="D36" s="137"/>
      <c r="F36" s="133"/>
      <c r="G36" s="135"/>
      <c r="H36" s="136"/>
      <c r="I36" s="138"/>
      <c r="J36" s="26"/>
    </row>
    <row r="37" spans="1:10">
      <c r="A37" s="133"/>
      <c r="B37" s="136"/>
      <c r="C37" s="136"/>
      <c r="D37" s="137"/>
      <c r="F37" s="133"/>
      <c r="G37" s="135"/>
      <c r="H37" s="136"/>
      <c r="I37" s="138"/>
      <c r="J37" s="26"/>
    </row>
    <row r="38" spans="1:10">
      <c r="A38" s="133"/>
      <c r="B38" s="136"/>
      <c r="C38" s="136"/>
      <c r="D38" s="137"/>
      <c r="F38" s="133"/>
      <c r="G38" s="135"/>
      <c r="H38" s="136"/>
      <c r="I38" s="138"/>
      <c r="J38" s="26"/>
    </row>
    <row r="39" spans="1:10">
      <c r="A39" s="133"/>
      <c r="B39" s="136"/>
      <c r="C39" s="136"/>
      <c r="D39" s="137"/>
      <c r="F39" s="133"/>
      <c r="G39" s="135"/>
      <c r="H39" s="136"/>
      <c r="I39" s="138"/>
      <c r="J39" s="26"/>
    </row>
    <row r="40" spans="1:10">
      <c r="A40" s="133"/>
      <c r="B40" s="136"/>
      <c r="C40" s="136"/>
      <c r="D40" s="137"/>
      <c r="F40" s="133"/>
      <c r="G40" s="135"/>
      <c r="H40" s="136"/>
      <c r="I40" s="138"/>
      <c r="J40" s="26"/>
    </row>
    <row r="41" spans="1:10">
      <c r="A41" s="133"/>
      <c r="B41" s="136"/>
      <c r="C41" s="136"/>
      <c r="D41" s="137"/>
      <c r="F41" s="133"/>
      <c r="G41" s="135"/>
      <c r="H41" s="136"/>
      <c r="I41" s="138"/>
      <c r="J41" s="26"/>
    </row>
    <row r="42" spans="1:10">
      <c r="A42" s="133"/>
      <c r="B42" s="136"/>
      <c r="C42" s="136"/>
      <c r="D42" s="137"/>
      <c r="F42" s="133"/>
      <c r="G42" s="135"/>
      <c r="H42" s="136"/>
      <c r="I42" s="138"/>
    </row>
    <row r="43" spans="1:10">
      <c r="A43" s="133"/>
      <c r="B43" s="136"/>
      <c r="C43" s="136"/>
      <c r="D43" s="137"/>
      <c r="F43" s="133"/>
      <c r="G43" s="135"/>
      <c r="H43" s="136"/>
      <c r="I43" s="138"/>
    </row>
    <row r="44" spans="1:10">
      <c r="A44" s="133"/>
      <c r="B44" s="136"/>
      <c r="C44" s="136"/>
      <c r="D44" s="137"/>
      <c r="F44" s="133"/>
      <c r="G44" s="135"/>
      <c r="H44" s="136"/>
      <c r="I44" s="138"/>
    </row>
    <row r="45" spans="1:10">
      <c r="A45" s="133"/>
      <c r="B45" s="136"/>
      <c r="C45" s="136"/>
      <c r="D45" s="137"/>
      <c r="F45" s="133"/>
      <c r="G45" s="135"/>
      <c r="H45" s="136"/>
      <c r="I45" s="138"/>
    </row>
    <row r="46" spans="1:10">
      <c r="A46" s="133"/>
      <c r="B46" s="136"/>
      <c r="C46" s="136"/>
      <c r="D46" s="137"/>
      <c r="F46" s="133"/>
      <c r="G46" s="135"/>
      <c r="H46" s="136"/>
      <c r="I46" s="138"/>
    </row>
    <row r="47" spans="1:10">
      <c r="A47" s="133"/>
      <c r="B47" s="136"/>
      <c r="C47" s="136"/>
      <c r="D47" s="137"/>
      <c r="F47" s="133"/>
      <c r="G47" s="135"/>
      <c r="H47" s="136"/>
      <c r="I47" s="138"/>
    </row>
    <row r="48" spans="1:10">
      <c r="A48" s="133"/>
      <c r="B48" s="136"/>
      <c r="C48" s="136"/>
      <c r="D48" s="137"/>
      <c r="F48" s="133"/>
      <c r="G48" s="135"/>
      <c r="H48" s="136"/>
      <c r="I48" s="138"/>
    </row>
    <row r="49" spans="1:15">
      <c r="A49" s="133"/>
      <c r="B49" s="136"/>
      <c r="C49" s="136"/>
      <c r="D49" s="137"/>
      <c r="F49" s="133"/>
      <c r="G49" s="135"/>
      <c r="H49" s="136"/>
      <c r="I49" s="138"/>
    </row>
    <row r="50" spans="1:15">
      <c r="A50" s="133"/>
      <c r="B50" s="136"/>
      <c r="C50" s="136"/>
      <c r="D50" s="137"/>
      <c r="F50" s="133"/>
      <c r="G50" s="135"/>
      <c r="H50" s="136"/>
      <c r="I50" s="138"/>
    </row>
    <row r="51" spans="1:15">
      <c r="A51" s="133"/>
      <c r="B51" s="136"/>
      <c r="C51" s="136"/>
      <c r="D51" s="137"/>
      <c r="F51" s="133"/>
      <c r="G51" s="135"/>
      <c r="H51" s="136"/>
      <c r="I51" s="138"/>
    </row>
    <row r="52" spans="1:15">
      <c r="A52" s="133"/>
      <c r="B52" s="136"/>
      <c r="C52" s="136"/>
      <c r="D52" s="137"/>
      <c r="F52" s="133"/>
      <c r="G52" s="135"/>
      <c r="H52" s="136"/>
      <c r="I52" s="138"/>
    </row>
    <row r="53" spans="1:15">
      <c r="A53" s="133"/>
      <c r="B53" s="136"/>
      <c r="C53" s="136"/>
      <c r="D53" s="137"/>
      <c r="F53" s="133"/>
      <c r="G53" s="135"/>
      <c r="H53" s="136"/>
      <c r="I53" s="138"/>
    </row>
    <row r="54" spans="1:15">
      <c r="A54" s="133"/>
      <c r="B54" s="136"/>
      <c r="C54" s="136"/>
      <c r="D54" s="137"/>
      <c r="F54" s="133"/>
      <c r="G54" s="135"/>
      <c r="H54" s="136"/>
      <c r="I54" s="138"/>
    </row>
    <row r="55" spans="1:15">
      <c r="A55" s="133"/>
      <c r="B55" s="136"/>
      <c r="C55" s="136"/>
      <c r="D55" s="137"/>
      <c r="F55" s="133"/>
      <c r="G55" s="135"/>
      <c r="H55" s="136"/>
      <c r="I55" s="138"/>
    </row>
    <row r="56" spans="1:15">
      <c r="A56" s="133"/>
      <c r="B56" s="136"/>
      <c r="C56" s="136"/>
      <c r="D56" s="137"/>
      <c r="F56" s="133"/>
      <c r="G56" s="135"/>
      <c r="H56" s="136"/>
      <c r="I56" s="138"/>
    </row>
    <row r="57" spans="1:15">
      <c r="A57" s="133"/>
      <c r="B57" s="136"/>
      <c r="C57" s="136"/>
      <c r="D57" s="137"/>
      <c r="F57" s="133"/>
      <c r="G57" s="135"/>
      <c r="H57" s="136"/>
      <c r="I57" s="138"/>
      <c r="O57" s="52"/>
    </row>
    <row r="58" spans="1:15">
      <c r="A58" s="133"/>
      <c r="B58" s="136"/>
      <c r="C58" s="136"/>
      <c r="D58" s="137"/>
      <c r="F58" s="133"/>
      <c r="G58" s="135"/>
      <c r="H58" s="136"/>
      <c r="I58" s="138"/>
    </row>
    <row r="59" spans="1:15">
      <c r="A59" s="133"/>
      <c r="B59" s="136"/>
      <c r="C59" s="136"/>
      <c r="D59" s="137"/>
      <c r="F59" s="133"/>
      <c r="G59" s="135"/>
      <c r="H59" s="136"/>
      <c r="I59" s="138"/>
    </row>
    <row r="60" spans="1:15">
      <c r="A60" s="133"/>
      <c r="B60" s="136"/>
      <c r="C60" s="136"/>
      <c r="D60" s="137"/>
      <c r="F60" s="133"/>
      <c r="G60" s="135"/>
      <c r="H60" s="136"/>
      <c r="I60" s="138"/>
    </row>
    <row r="61" spans="1:15">
      <c r="A61" s="133"/>
      <c r="B61" s="136"/>
      <c r="C61" s="136"/>
      <c r="D61" s="137"/>
      <c r="F61" s="133"/>
      <c r="G61" s="135"/>
      <c r="H61" s="136"/>
      <c r="I61" s="138"/>
    </row>
    <row r="62" spans="1:15">
      <c r="A62" s="133"/>
      <c r="B62" s="136"/>
      <c r="C62" s="136"/>
      <c r="D62" s="137"/>
      <c r="F62" s="133"/>
      <c r="G62" s="135"/>
      <c r="H62" s="136"/>
      <c r="I62" s="138"/>
    </row>
    <row r="63" spans="1:15">
      <c r="A63" s="133"/>
      <c r="B63" s="136"/>
      <c r="C63" s="136"/>
      <c r="D63" s="137"/>
      <c r="F63" s="133"/>
      <c r="G63" s="135"/>
      <c r="H63" s="136"/>
      <c r="I63" s="138"/>
    </row>
    <row r="64" spans="1:15">
      <c r="A64" s="133"/>
      <c r="B64" s="136"/>
      <c r="C64" s="136"/>
      <c r="D64" s="137"/>
      <c r="F64" s="133"/>
      <c r="G64" s="135"/>
      <c r="H64" s="136"/>
      <c r="I64" s="138"/>
    </row>
    <row r="65" spans="1:9">
      <c r="A65" s="133"/>
      <c r="B65" s="136"/>
      <c r="C65" s="136"/>
      <c r="D65" s="137"/>
      <c r="F65" s="133"/>
      <c r="G65" s="135"/>
      <c r="H65" s="136"/>
      <c r="I65" s="138"/>
    </row>
    <row r="66" spans="1:9">
      <c r="A66" s="133"/>
      <c r="B66" s="136"/>
      <c r="C66" s="136"/>
      <c r="D66" s="137"/>
      <c r="F66" s="133"/>
      <c r="G66" s="135"/>
      <c r="H66" s="136"/>
      <c r="I66" s="138"/>
    </row>
    <row r="67" spans="1:9">
      <c r="A67" s="133"/>
      <c r="B67" s="136"/>
      <c r="C67" s="136"/>
      <c r="D67" s="137"/>
      <c r="F67" s="133"/>
      <c r="G67" s="135"/>
      <c r="H67" s="136"/>
      <c r="I67" s="138"/>
    </row>
    <row r="68" spans="1:9">
      <c r="A68" s="133"/>
      <c r="B68" s="136"/>
      <c r="C68" s="136"/>
      <c r="D68" s="137"/>
      <c r="F68" s="133"/>
      <c r="G68" s="135"/>
      <c r="H68" s="136"/>
      <c r="I68" s="138"/>
    </row>
    <row r="69" spans="1:9">
      <c r="A69" s="133"/>
      <c r="B69" s="136"/>
      <c r="C69" s="136"/>
      <c r="D69" s="137"/>
      <c r="F69" s="133"/>
      <c r="G69" s="135"/>
      <c r="H69" s="136"/>
      <c r="I69" s="138"/>
    </row>
    <row r="70" spans="1:9">
      <c r="A70" s="133"/>
      <c r="B70" s="136"/>
      <c r="C70" s="136"/>
      <c r="D70" s="137"/>
      <c r="F70" s="133"/>
      <c r="G70" s="135"/>
      <c r="H70" s="136"/>
      <c r="I70" s="138"/>
    </row>
    <row r="71" spans="1:9">
      <c r="A71" s="133"/>
      <c r="B71" s="136"/>
      <c r="C71" s="136"/>
      <c r="D71" s="137"/>
      <c r="F71" s="133"/>
      <c r="G71" s="135"/>
      <c r="H71" s="136"/>
      <c r="I71" s="138"/>
    </row>
    <row r="72" spans="1:9">
      <c r="A72" s="133"/>
      <c r="B72" s="136"/>
      <c r="C72" s="136"/>
      <c r="D72" s="137"/>
      <c r="F72" s="133"/>
      <c r="G72" s="135"/>
      <c r="H72" s="136"/>
      <c r="I72" s="138"/>
    </row>
    <row r="73" spans="1:9">
      <c r="A73" s="133"/>
      <c r="B73" s="136"/>
      <c r="C73" s="136"/>
      <c r="D73" s="137"/>
      <c r="F73" s="133"/>
      <c r="G73" s="135"/>
      <c r="H73" s="136"/>
      <c r="I73" s="138"/>
    </row>
    <row r="74" spans="1:9">
      <c r="A74" s="133"/>
      <c r="B74" s="136"/>
      <c r="C74" s="136"/>
      <c r="D74" s="137"/>
      <c r="F74" s="133"/>
      <c r="G74" s="135"/>
      <c r="H74" s="136"/>
      <c r="I74" s="138"/>
    </row>
    <row r="75" spans="1:9">
      <c r="A75" s="133"/>
      <c r="B75" s="136"/>
      <c r="C75" s="136"/>
      <c r="D75" s="137"/>
      <c r="F75" s="133"/>
      <c r="G75" s="135"/>
      <c r="H75" s="136"/>
      <c r="I75" s="138"/>
    </row>
    <row r="76" spans="1:9">
      <c r="A76" s="133"/>
      <c r="B76" s="136"/>
      <c r="C76" s="136"/>
      <c r="D76" s="137"/>
      <c r="F76" s="133"/>
      <c r="G76" s="135"/>
      <c r="H76" s="136"/>
      <c r="I76" s="138"/>
    </row>
    <row r="77" spans="1:9">
      <c r="A77" s="133"/>
      <c r="B77" s="136"/>
      <c r="C77" s="136"/>
      <c r="D77" s="137"/>
      <c r="F77" s="133"/>
      <c r="G77" s="135"/>
      <c r="H77" s="136"/>
      <c r="I77" s="138"/>
    </row>
    <row r="78" spans="1:9">
      <c r="A78" s="133"/>
      <c r="B78" s="136"/>
      <c r="C78" s="136"/>
      <c r="D78" s="137"/>
      <c r="F78" s="133"/>
      <c r="G78" s="135"/>
      <c r="H78" s="136"/>
      <c r="I78" s="138"/>
    </row>
    <row r="79" spans="1:9">
      <c r="A79" s="133"/>
      <c r="B79" s="136"/>
      <c r="C79" s="136"/>
      <c r="D79" s="137"/>
      <c r="F79" s="133"/>
      <c r="G79" s="135"/>
      <c r="H79" s="136"/>
      <c r="I79" s="138"/>
    </row>
    <row r="80" spans="1:9">
      <c r="A80" s="133"/>
      <c r="B80" s="136"/>
      <c r="C80" s="136"/>
      <c r="D80" s="137"/>
      <c r="F80" s="133"/>
      <c r="G80" s="135"/>
      <c r="H80" s="136"/>
      <c r="I80" s="138"/>
    </row>
    <row r="81" spans="1:9">
      <c r="A81" s="133"/>
      <c r="B81" s="136"/>
      <c r="C81" s="136"/>
      <c r="D81" s="137"/>
      <c r="F81" s="133"/>
      <c r="G81" s="135"/>
      <c r="H81" s="136"/>
      <c r="I81" s="138"/>
    </row>
    <row r="82" spans="1:9">
      <c r="A82" s="133"/>
      <c r="B82" s="136"/>
      <c r="C82" s="136"/>
      <c r="D82" s="137"/>
      <c r="F82" s="133"/>
      <c r="G82" s="135"/>
      <c r="H82" s="136"/>
      <c r="I82" s="138"/>
    </row>
    <row r="83" spans="1:9">
      <c r="A83" s="133"/>
      <c r="B83" s="136"/>
      <c r="C83" s="136"/>
      <c r="D83" s="137"/>
      <c r="F83" s="133"/>
      <c r="G83" s="135"/>
      <c r="H83" s="136"/>
      <c r="I83" s="138"/>
    </row>
    <row r="84" spans="1:9">
      <c r="A84" s="133"/>
      <c r="B84" s="136"/>
      <c r="C84" s="136"/>
      <c r="D84" s="137"/>
      <c r="F84" s="133"/>
      <c r="G84" s="135"/>
      <c r="H84" s="136"/>
      <c r="I84" s="138"/>
    </row>
    <row r="85" spans="1:9">
      <c r="A85" s="133"/>
      <c r="B85" s="136"/>
      <c r="C85" s="136"/>
      <c r="D85" s="137"/>
      <c r="F85" s="133"/>
      <c r="G85" s="135"/>
      <c r="H85" s="136"/>
      <c r="I85" s="138"/>
    </row>
    <row r="86" spans="1:9">
      <c r="A86" s="133"/>
      <c r="B86" s="136"/>
      <c r="C86" s="136"/>
      <c r="D86" s="137"/>
      <c r="F86" s="133"/>
      <c r="G86" s="135"/>
      <c r="H86" s="136"/>
      <c r="I86" s="138"/>
    </row>
    <row r="87" spans="1:9">
      <c r="A87" s="133"/>
      <c r="B87" s="136"/>
      <c r="C87" s="136"/>
      <c r="D87" s="137"/>
      <c r="F87" s="133"/>
      <c r="G87" s="135"/>
      <c r="H87" s="136"/>
      <c r="I87" s="138"/>
    </row>
    <row r="88" spans="1:9">
      <c r="A88" s="133"/>
      <c r="B88" s="136"/>
      <c r="C88" s="136"/>
      <c r="D88" s="137"/>
      <c r="F88" s="133"/>
      <c r="G88" s="135"/>
      <c r="H88" s="136"/>
      <c r="I88" s="138"/>
    </row>
    <row r="89" spans="1:9">
      <c r="A89" s="133"/>
      <c r="B89" s="136"/>
      <c r="C89" s="136"/>
      <c r="D89" s="137"/>
      <c r="F89" s="133"/>
      <c r="G89" s="135"/>
      <c r="H89" s="136"/>
      <c r="I89" s="138"/>
    </row>
    <row r="90" spans="1:9">
      <c r="A90" s="133"/>
      <c r="B90" s="136"/>
      <c r="C90" s="136"/>
      <c r="D90" s="137"/>
      <c r="F90" s="133"/>
      <c r="G90" s="135"/>
      <c r="H90" s="136"/>
      <c r="I90" s="138"/>
    </row>
    <row r="91" spans="1:9">
      <c r="A91" s="133"/>
      <c r="B91" s="136"/>
      <c r="C91" s="136"/>
      <c r="D91" s="137"/>
      <c r="F91" s="133"/>
      <c r="G91" s="135"/>
      <c r="H91" s="136"/>
      <c r="I91" s="138"/>
    </row>
    <row r="92" spans="1:9">
      <c r="A92" s="133"/>
      <c r="B92" s="136"/>
      <c r="C92" s="136"/>
      <c r="D92" s="137"/>
      <c r="F92" s="133"/>
      <c r="G92" s="135"/>
      <c r="H92" s="136"/>
      <c r="I92" s="138"/>
    </row>
    <row r="93" spans="1:9">
      <c r="A93" s="133"/>
      <c r="B93" s="136"/>
      <c r="C93" s="136"/>
      <c r="D93" s="137"/>
      <c r="F93" s="133"/>
      <c r="G93" s="135"/>
      <c r="H93" s="136"/>
      <c r="I93" s="138"/>
    </row>
    <row r="94" spans="1:9">
      <c r="A94" s="133"/>
      <c r="B94" s="136"/>
      <c r="C94" s="136"/>
      <c r="D94" s="137"/>
      <c r="F94" s="133"/>
      <c r="G94" s="135"/>
      <c r="H94" s="136"/>
      <c r="I94" s="138"/>
    </row>
    <row r="95" spans="1:9">
      <c r="A95" s="133"/>
      <c r="B95" s="136"/>
      <c r="C95" s="136"/>
      <c r="D95" s="137"/>
      <c r="F95" s="133"/>
      <c r="G95" s="135"/>
      <c r="H95" s="136"/>
      <c r="I95" s="138"/>
    </row>
    <row r="96" spans="1:9">
      <c r="A96" s="133"/>
      <c r="B96" s="136"/>
      <c r="C96" s="136"/>
      <c r="D96" s="137"/>
      <c r="F96" s="133"/>
      <c r="G96" s="135"/>
      <c r="H96" s="136"/>
      <c r="I96" s="138"/>
    </row>
    <row r="97" spans="1:9">
      <c r="A97" s="133"/>
      <c r="B97" s="136"/>
      <c r="C97" s="136"/>
      <c r="D97" s="137"/>
      <c r="F97" s="133"/>
      <c r="G97" s="135"/>
      <c r="H97" s="136"/>
      <c r="I97" s="138"/>
    </row>
    <row r="98" spans="1:9">
      <c r="A98" s="133"/>
      <c r="B98" s="136"/>
      <c r="C98" s="136"/>
      <c r="D98" s="137"/>
      <c r="F98" s="133"/>
      <c r="G98" s="135"/>
      <c r="H98" s="136"/>
      <c r="I98" s="138"/>
    </row>
    <row r="99" spans="1:9">
      <c r="A99" s="133"/>
      <c r="B99" s="136"/>
      <c r="C99" s="136"/>
      <c r="D99" s="137"/>
      <c r="F99" s="133"/>
      <c r="G99" s="135"/>
      <c r="H99" s="136"/>
      <c r="I99" s="138"/>
    </row>
    <row r="100" spans="1:9">
      <c r="A100" s="133"/>
      <c r="B100" s="136"/>
      <c r="C100" s="136"/>
      <c r="D100" s="137"/>
      <c r="F100" s="133"/>
      <c r="G100" s="135"/>
      <c r="H100" s="136"/>
      <c r="I100" s="138"/>
    </row>
    <row r="101" spans="1:9">
      <c r="A101" s="133"/>
      <c r="B101" s="136"/>
      <c r="C101" s="136"/>
      <c r="D101" s="137"/>
      <c r="F101" s="133"/>
      <c r="G101" s="135"/>
      <c r="H101" s="136"/>
      <c r="I101" s="138"/>
    </row>
    <row r="102" spans="1:9">
      <c r="A102" s="133"/>
      <c r="B102" s="136"/>
      <c r="C102" s="136"/>
      <c r="D102" s="137"/>
      <c r="F102" s="133"/>
      <c r="G102" s="135"/>
      <c r="H102" s="136"/>
      <c r="I102" s="138"/>
    </row>
    <row r="103" spans="1:9">
      <c r="A103" s="133"/>
      <c r="B103" s="136"/>
      <c r="C103" s="136"/>
      <c r="D103" s="137"/>
      <c r="F103" s="133"/>
      <c r="G103" s="135"/>
      <c r="H103" s="136"/>
      <c r="I103" s="138"/>
    </row>
    <row r="104" spans="1:9">
      <c r="A104" s="133"/>
      <c r="B104" s="135"/>
      <c r="C104" s="136"/>
      <c r="D104" s="137"/>
      <c r="F104" s="133"/>
      <c r="G104" s="135"/>
      <c r="H104" s="136"/>
      <c r="I104" s="138"/>
    </row>
    <row r="105" spans="1:9">
      <c r="A105" s="133"/>
      <c r="B105" s="135"/>
      <c r="C105" s="136"/>
      <c r="D105" s="137"/>
      <c r="F105" s="133"/>
      <c r="G105" s="135"/>
      <c r="H105" s="136"/>
      <c r="I105" s="138"/>
    </row>
    <row r="106" spans="1:9">
      <c r="A106" s="133"/>
      <c r="B106" s="135"/>
      <c r="C106" s="136"/>
      <c r="D106" s="142"/>
      <c r="F106" s="133"/>
      <c r="G106" s="135"/>
      <c r="H106" s="136"/>
      <c r="I106" s="138"/>
    </row>
    <row r="107" spans="1:9">
      <c r="A107" s="133"/>
      <c r="B107" s="135"/>
      <c r="C107" s="136"/>
      <c r="D107" s="142"/>
      <c r="F107" s="133"/>
      <c r="G107" s="135"/>
      <c r="H107" s="136"/>
      <c r="I107" s="138"/>
    </row>
    <row r="108" spans="1:9">
      <c r="A108" s="133"/>
      <c r="B108" s="135"/>
      <c r="C108" s="136"/>
      <c r="D108" s="142"/>
      <c r="F108" s="133"/>
      <c r="G108" s="135"/>
      <c r="H108" s="136"/>
      <c r="I108" s="138"/>
    </row>
    <row r="109" spans="1:9">
      <c r="A109" s="133"/>
      <c r="B109" s="135"/>
      <c r="C109" s="136"/>
      <c r="D109" s="142"/>
      <c r="F109" s="133"/>
      <c r="G109" s="135"/>
      <c r="H109" s="136"/>
      <c r="I109" s="138"/>
    </row>
    <row r="110" spans="1:9">
      <c r="A110" s="133"/>
      <c r="B110" s="135"/>
      <c r="C110" s="136"/>
      <c r="D110" s="142"/>
      <c r="F110" s="133"/>
      <c r="G110" s="135"/>
      <c r="H110" s="136"/>
      <c r="I110" s="138"/>
    </row>
    <row r="111" spans="1:9">
      <c r="A111" s="133"/>
      <c r="B111" s="135"/>
      <c r="C111" s="136"/>
      <c r="D111" s="142"/>
      <c r="F111" s="133"/>
      <c r="G111" s="135"/>
      <c r="H111" s="136"/>
      <c r="I111" s="138"/>
    </row>
    <row r="112" spans="1:9">
      <c r="A112" s="133"/>
      <c r="B112" s="135"/>
      <c r="C112" s="136"/>
      <c r="D112" s="142"/>
      <c r="F112" s="133"/>
      <c r="G112" s="135"/>
      <c r="H112" s="136"/>
      <c r="I112" s="138"/>
    </row>
    <row r="113" spans="1:9">
      <c r="A113" s="133"/>
      <c r="B113" s="135"/>
      <c r="C113" s="136"/>
      <c r="D113" s="142"/>
      <c r="F113" s="133"/>
      <c r="G113" s="135"/>
      <c r="H113" s="136"/>
      <c r="I113" s="138"/>
    </row>
    <row r="114" spans="1:9">
      <c r="A114" s="133"/>
      <c r="B114" s="135"/>
      <c r="C114" s="135"/>
      <c r="D114" s="142"/>
      <c r="F114" s="133"/>
      <c r="G114" s="135"/>
      <c r="H114" s="136"/>
      <c r="I114" s="138"/>
    </row>
    <row r="115" spans="1:9">
      <c r="A115" s="133"/>
      <c r="B115" s="135"/>
      <c r="C115" s="135"/>
      <c r="D115" s="142"/>
      <c r="F115" s="133"/>
      <c r="G115" s="135"/>
      <c r="H115" s="136"/>
      <c r="I115" s="138"/>
    </row>
    <row r="116" spans="1:9">
      <c r="A116" s="133"/>
      <c r="B116" s="135"/>
      <c r="C116" s="135"/>
      <c r="D116" s="142"/>
      <c r="F116" s="133"/>
      <c r="G116" s="135"/>
      <c r="H116" s="136"/>
      <c r="I116" s="138"/>
    </row>
    <row r="117" spans="1:9">
      <c r="A117" s="133"/>
      <c r="B117" s="135"/>
      <c r="C117" s="135"/>
      <c r="D117" s="142"/>
      <c r="F117" s="133"/>
      <c r="G117" s="135"/>
      <c r="H117" s="136"/>
      <c r="I117" s="138"/>
    </row>
    <row r="118" spans="1:9">
      <c r="A118" s="133"/>
      <c r="B118" s="135"/>
      <c r="C118" s="135"/>
      <c r="D118" s="142"/>
      <c r="F118" s="133"/>
      <c r="G118" s="135"/>
      <c r="H118" s="136"/>
      <c r="I118" s="138"/>
    </row>
    <row r="119" spans="1:9">
      <c r="A119" s="133"/>
      <c r="B119" s="135"/>
      <c r="C119" s="135"/>
      <c r="D119" s="142"/>
      <c r="F119" s="133"/>
      <c r="G119" s="135"/>
      <c r="H119" s="136"/>
      <c r="I119" s="138"/>
    </row>
    <row r="120" spans="1:9">
      <c r="A120" s="133"/>
      <c r="B120" s="135"/>
      <c r="C120" s="135"/>
      <c r="D120" s="142"/>
      <c r="F120" s="133"/>
      <c r="G120" s="135"/>
      <c r="H120" s="136"/>
      <c r="I120" s="138"/>
    </row>
    <row r="121" spans="1:9">
      <c r="A121" s="133"/>
      <c r="B121" s="135"/>
      <c r="C121" s="135"/>
      <c r="D121" s="142"/>
      <c r="F121" s="133"/>
      <c r="G121" s="135"/>
      <c r="H121" s="136"/>
      <c r="I121" s="138"/>
    </row>
    <row r="122" spans="1:9">
      <c r="A122" s="135"/>
      <c r="B122" s="135"/>
      <c r="C122" s="135"/>
      <c r="D122" s="142"/>
      <c r="F122" s="133"/>
      <c r="G122" s="133"/>
      <c r="H122" s="136"/>
      <c r="I122" s="138"/>
    </row>
    <row r="123" spans="1:9">
      <c r="A123" s="133" t="s">
        <v>8</v>
      </c>
      <c r="B123" s="182">
        <f>SUM(B5:B122)</f>
        <v>12871</v>
      </c>
      <c r="C123" s="183"/>
      <c r="D123" s="184"/>
      <c r="F123" s="133" t="s">
        <v>8</v>
      </c>
      <c r="G123" s="182">
        <f>SUM(G5:G122)</f>
        <v>6534.55</v>
      </c>
      <c r="H123" s="183"/>
      <c r="I123" s="184"/>
    </row>
  </sheetData>
  <mergeCells count="3">
    <mergeCell ref="A1:B1"/>
    <mergeCell ref="B123:D123"/>
    <mergeCell ref="G123:I123"/>
  </mergeCells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rightToLeft="1" topLeftCell="A22" workbookViewId="0">
      <selection activeCell="A27" sqref="A27"/>
    </sheetView>
  </sheetViews>
  <sheetFormatPr defaultColWidth="9" defaultRowHeight="14.25"/>
  <cols>
    <col min="5" max="5" width="10.75" customWidth="1"/>
  </cols>
  <sheetData>
    <row r="1" spans="1:5" ht="15">
      <c r="A1" s="168" t="s">
        <v>17</v>
      </c>
      <c r="B1" s="169"/>
      <c r="C1" s="169"/>
      <c r="D1" s="169"/>
      <c r="E1" s="169"/>
    </row>
    <row r="2" spans="1:5" ht="15">
      <c r="A2" s="39" t="s">
        <v>5</v>
      </c>
      <c r="B2" s="170" t="s">
        <v>6</v>
      </c>
      <c r="C2" s="171"/>
      <c r="D2" s="172"/>
      <c r="E2" s="39" t="s">
        <v>7</v>
      </c>
    </row>
    <row r="3" spans="1:5">
      <c r="A3" s="33">
        <v>12500</v>
      </c>
      <c r="B3" s="185" t="s">
        <v>18</v>
      </c>
      <c r="C3" s="185"/>
      <c r="D3" s="185"/>
      <c r="E3" s="33" t="s">
        <v>19</v>
      </c>
    </row>
    <row r="4" spans="1:5">
      <c r="A4" s="33">
        <v>460</v>
      </c>
      <c r="B4" s="186" t="s">
        <v>20</v>
      </c>
      <c r="C4" s="187"/>
      <c r="D4" s="188"/>
      <c r="E4" s="127" t="s">
        <v>21</v>
      </c>
    </row>
    <row r="5" spans="1:5">
      <c r="A5" s="33">
        <v>550</v>
      </c>
      <c r="B5" s="186" t="s">
        <v>22</v>
      </c>
      <c r="C5" s="187"/>
      <c r="D5" s="188"/>
      <c r="E5" s="33" t="s">
        <v>21</v>
      </c>
    </row>
    <row r="6" spans="1:5">
      <c r="A6" s="46">
        <v>1680</v>
      </c>
      <c r="B6" s="186" t="s">
        <v>23</v>
      </c>
      <c r="C6" s="187"/>
      <c r="D6" s="188"/>
      <c r="E6" s="33" t="s">
        <v>21</v>
      </c>
    </row>
    <row r="7" spans="1:5">
      <c r="A7" s="46">
        <v>3.5</v>
      </c>
      <c r="B7" s="186" t="s">
        <v>24</v>
      </c>
      <c r="C7" s="187"/>
      <c r="D7" s="188"/>
      <c r="E7" s="33" t="s">
        <v>21</v>
      </c>
    </row>
    <row r="8" spans="1:5">
      <c r="A8" s="46">
        <v>230</v>
      </c>
      <c r="B8" s="174" t="s">
        <v>25</v>
      </c>
      <c r="C8" s="175"/>
      <c r="D8" s="176"/>
      <c r="E8" s="127" t="s">
        <v>26</v>
      </c>
    </row>
    <row r="9" spans="1:5">
      <c r="A9" s="46">
        <v>850</v>
      </c>
      <c r="B9" s="174" t="s">
        <v>27</v>
      </c>
      <c r="C9" s="175"/>
      <c r="D9" s="176"/>
      <c r="E9" s="127" t="s">
        <v>28</v>
      </c>
    </row>
    <row r="10" spans="1:5">
      <c r="A10" s="46">
        <v>1500</v>
      </c>
      <c r="B10" s="174" t="s">
        <v>29</v>
      </c>
      <c r="C10" s="175"/>
      <c r="D10" s="176"/>
      <c r="E10" s="127" t="s">
        <v>30</v>
      </c>
    </row>
    <row r="11" spans="1:5">
      <c r="A11" s="33">
        <v>300</v>
      </c>
      <c r="B11" s="174" t="s">
        <v>31</v>
      </c>
      <c r="C11" s="175"/>
      <c r="D11" s="176"/>
      <c r="E11" s="127" t="s">
        <v>32</v>
      </c>
    </row>
    <row r="12" spans="1:5">
      <c r="A12" s="33">
        <v>280</v>
      </c>
      <c r="B12" s="174" t="s">
        <v>33</v>
      </c>
      <c r="C12" s="175"/>
      <c r="D12" s="176"/>
      <c r="E12" s="47" t="s">
        <v>32</v>
      </c>
    </row>
    <row r="13" spans="1:5">
      <c r="A13" s="33">
        <v>10</v>
      </c>
      <c r="B13" s="174" t="s">
        <v>34</v>
      </c>
      <c r="C13" s="175"/>
      <c r="D13" s="176"/>
      <c r="E13" s="127" t="s">
        <v>35</v>
      </c>
    </row>
    <row r="14" spans="1:5">
      <c r="A14" s="33">
        <v>320</v>
      </c>
      <c r="B14" s="174" t="s">
        <v>36</v>
      </c>
      <c r="C14" s="175"/>
      <c r="D14" s="176"/>
      <c r="E14" s="127" t="s">
        <v>35</v>
      </c>
    </row>
    <row r="15" spans="1:5">
      <c r="A15" s="33">
        <v>955</v>
      </c>
      <c r="B15" s="174" t="s">
        <v>37</v>
      </c>
      <c r="C15" s="175"/>
      <c r="D15" s="176"/>
      <c r="E15" s="127" t="s">
        <v>35</v>
      </c>
    </row>
    <row r="16" spans="1:5">
      <c r="A16" s="33">
        <v>195</v>
      </c>
      <c r="B16" s="174" t="s">
        <v>38</v>
      </c>
      <c r="C16" s="175"/>
      <c r="D16" s="176"/>
      <c r="E16" s="127" t="s">
        <v>35</v>
      </c>
    </row>
    <row r="17" spans="1:5">
      <c r="A17" s="33">
        <v>400</v>
      </c>
      <c r="B17" s="189" t="s">
        <v>39</v>
      </c>
      <c r="C17" s="175"/>
      <c r="D17" s="176"/>
      <c r="E17" s="128" t="s">
        <v>40</v>
      </c>
    </row>
    <row r="18" spans="1:5">
      <c r="A18" s="33">
        <v>12</v>
      </c>
      <c r="B18" s="174" t="s">
        <v>41</v>
      </c>
      <c r="C18" s="175"/>
      <c r="D18" s="176"/>
      <c r="E18" s="127" t="s">
        <v>14</v>
      </c>
    </row>
    <row r="19" spans="1:5">
      <c r="A19" s="33">
        <v>89</v>
      </c>
      <c r="B19" s="174" t="s">
        <v>42</v>
      </c>
      <c r="C19" s="175"/>
      <c r="D19" s="176"/>
      <c r="E19" s="127" t="s">
        <v>14</v>
      </c>
    </row>
    <row r="20" spans="1:5">
      <c r="A20" s="33">
        <v>8</v>
      </c>
      <c r="B20" s="174" t="s">
        <v>43</v>
      </c>
      <c r="C20" s="175"/>
      <c r="D20" s="176"/>
      <c r="E20" s="127" t="s">
        <v>14</v>
      </c>
    </row>
    <row r="21" spans="1:5">
      <c r="A21" s="33">
        <v>25</v>
      </c>
      <c r="B21" s="174" t="s">
        <v>44</v>
      </c>
      <c r="C21" s="175"/>
      <c r="D21" s="176"/>
      <c r="E21" s="127" t="s">
        <v>14</v>
      </c>
    </row>
    <row r="22" spans="1:5">
      <c r="A22" s="33">
        <v>33</v>
      </c>
      <c r="B22" s="174" t="s">
        <v>45</v>
      </c>
      <c r="C22" s="175"/>
      <c r="D22" s="176"/>
      <c r="E22" s="127" t="s">
        <v>14</v>
      </c>
    </row>
    <row r="23" spans="1:5">
      <c r="A23" s="34">
        <v>786</v>
      </c>
      <c r="B23" s="174" t="s">
        <v>46</v>
      </c>
      <c r="C23" s="175"/>
      <c r="D23" s="176"/>
      <c r="E23" s="127"/>
    </row>
    <row r="24" spans="1:5">
      <c r="A24" s="34">
        <v>1000</v>
      </c>
      <c r="B24" s="174" t="s">
        <v>47</v>
      </c>
      <c r="C24" s="175"/>
      <c r="D24" s="176"/>
      <c r="E24" s="127"/>
    </row>
    <row r="25" spans="1:5">
      <c r="A25" s="34">
        <v>3250</v>
      </c>
      <c r="B25" s="174" t="s">
        <v>48</v>
      </c>
      <c r="C25" s="175"/>
      <c r="D25" s="176"/>
      <c r="E25" s="127"/>
    </row>
    <row r="26" spans="1:5">
      <c r="A26" s="34">
        <v>200</v>
      </c>
      <c r="B26" s="174" t="s">
        <v>49</v>
      </c>
      <c r="C26" s="175"/>
      <c r="D26" s="176"/>
      <c r="E26" s="127"/>
    </row>
    <row r="27" spans="1:5">
      <c r="A27" s="34">
        <v>2200</v>
      </c>
      <c r="B27" s="190" t="s">
        <v>50</v>
      </c>
      <c r="C27" s="191"/>
      <c r="D27" s="192"/>
      <c r="E27" s="127"/>
    </row>
    <row r="28" spans="1:5">
      <c r="A28" s="129">
        <v>600</v>
      </c>
      <c r="B28" s="174" t="s">
        <v>51</v>
      </c>
      <c r="C28" s="175"/>
      <c r="D28" s="176"/>
      <c r="E28" s="127"/>
    </row>
    <row r="29" spans="1:5">
      <c r="A29" s="129">
        <v>1500</v>
      </c>
      <c r="B29" s="174" t="s">
        <v>52</v>
      </c>
      <c r="C29" s="175"/>
      <c r="D29" s="176"/>
      <c r="E29" s="127"/>
    </row>
    <row r="30" spans="1:5">
      <c r="A30" s="166">
        <v>600</v>
      </c>
      <c r="B30" s="174" t="s">
        <v>53</v>
      </c>
      <c r="C30" s="175"/>
      <c r="D30" s="176"/>
      <c r="E30" s="127"/>
    </row>
    <row r="31" spans="1:5">
      <c r="A31" s="166">
        <v>661.65</v>
      </c>
      <c r="B31" s="193" t="s">
        <v>302</v>
      </c>
      <c r="C31" s="175"/>
      <c r="D31" s="176"/>
      <c r="E31" s="127"/>
    </row>
    <row r="32" spans="1:5">
      <c r="A32" s="33">
        <v>1500</v>
      </c>
      <c r="B32" s="174" t="s">
        <v>315</v>
      </c>
      <c r="C32" s="175"/>
      <c r="D32" s="176"/>
      <c r="E32" s="127"/>
    </row>
    <row r="33" spans="1:5">
      <c r="A33" s="33">
        <v>740</v>
      </c>
      <c r="B33" s="174" t="s">
        <v>54</v>
      </c>
      <c r="C33" s="175"/>
      <c r="D33" s="176"/>
      <c r="E33" s="127"/>
    </row>
    <row r="34" spans="1:5">
      <c r="A34" s="33">
        <v>400</v>
      </c>
      <c r="B34" s="174" t="s">
        <v>341</v>
      </c>
      <c r="C34" s="175"/>
      <c r="D34" s="176"/>
      <c r="E34" s="127"/>
    </row>
    <row r="35" spans="1:5">
      <c r="A35" s="51">
        <f>SUM(A3:A34)</f>
        <v>33838.15</v>
      </c>
      <c r="B35" s="177" t="s">
        <v>8</v>
      </c>
      <c r="C35" s="178"/>
      <c r="D35" s="179"/>
      <c r="E35" s="44"/>
    </row>
    <row r="36" spans="1:5">
      <c r="A36" s="149"/>
      <c r="B36" s="149" t="s">
        <v>301</v>
      </c>
    </row>
    <row r="37" spans="1:5">
      <c r="B37" t="s">
        <v>320</v>
      </c>
    </row>
  </sheetData>
  <autoFilter ref="A2:E2">
    <filterColumn colId="1" showButton="0"/>
    <filterColumn colId="2" showButton="0"/>
  </autoFilter>
  <mergeCells count="35">
    <mergeCell ref="B32:D32"/>
    <mergeCell ref="B33:D33"/>
    <mergeCell ref="B35:D35"/>
    <mergeCell ref="B31:D31"/>
    <mergeCell ref="B34:D34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B7:D7"/>
    <mergeCell ref="B8:D8"/>
    <mergeCell ref="B9:D9"/>
    <mergeCell ref="B10:D10"/>
    <mergeCell ref="A1:E1"/>
    <mergeCell ref="B2:D2"/>
    <mergeCell ref="B3:D3"/>
    <mergeCell ref="B4:D4"/>
    <mergeCell ref="B5:D5"/>
  </mergeCells>
  <pageMargins left="0.7" right="0.7" top="0.75" bottom="0.75" header="0.3" footer="0.3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39"/>
  <sheetViews>
    <sheetView rightToLeft="1" zoomScale="85" zoomScaleNormal="85" workbookViewId="0">
      <selection activeCell="B107" sqref="A107:B108"/>
    </sheetView>
  </sheetViews>
  <sheetFormatPr defaultColWidth="9.125" defaultRowHeight="14.25"/>
  <cols>
    <col min="1" max="1" width="4.75" style="62" customWidth="1"/>
    <col min="2" max="2" width="32.375" style="62" customWidth="1"/>
    <col min="3" max="3" width="11.75" style="62" customWidth="1"/>
    <col min="4" max="4" width="12" style="62" customWidth="1"/>
    <col min="5" max="5" width="10.875" style="62" customWidth="1"/>
    <col min="6" max="6" width="9.125" style="62" customWidth="1"/>
    <col min="7" max="7" width="7.875" style="62" customWidth="1"/>
    <col min="8" max="9" width="7.375" style="62" customWidth="1"/>
    <col min="10" max="10" width="7.125" style="62" customWidth="1"/>
    <col min="11" max="13" width="6.875" style="62" customWidth="1"/>
    <col min="14" max="14" width="8.625" style="62" customWidth="1"/>
    <col min="15" max="15" width="9" style="62" customWidth="1"/>
    <col min="16" max="16" width="13.875" style="62" customWidth="1"/>
    <col min="17" max="17" width="18.625" style="62" customWidth="1"/>
    <col min="18" max="19" width="10.625" style="62" customWidth="1"/>
    <col min="20" max="20" width="10.125" style="62" customWidth="1"/>
    <col min="21" max="21" width="8.75" style="62" customWidth="1"/>
    <col min="22" max="22" width="9.25" style="62" customWidth="1"/>
    <col min="23" max="23" width="8.125" style="62" customWidth="1"/>
    <col min="24" max="16384" width="9.125" style="62"/>
  </cols>
  <sheetData>
    <row r="1" spans="1:26" ht="15">
      <c r="A1" s="63" t="s">
        <v>55</v>
      </c>
      <c r="B1" s="63" t="s">
        <v>56</v>
      </c>
      <c r="C1" s="63" t="s">
        <v>57</v>
      </c>
      <c r="D1" s="63" t="s">
        <v>7</v>
      </c>
      <c r="E1" s="63" t="s">
        <v>58</v>
      </c>
      <c r="F1" s="63" t="s">
        <v>59</v>
      </c>
      <c r="G1" s="63" t="s">
        <v>60</v>
      </c>
      <c r="H1" s="63" t="s">
        <v>61</v>
      </c>
      <c r="I1" s="63" t="s">
        <v>62</v>
      </c>
      <c r="J1" s="63" t="s">
        <v>63</v>
      </c>
      <c r="K1" s="63" t="s">
        <v>64</v>
      </c>
      <c r="L1" s="63" t="s">
        <v>65</v>
      </c>
      <c r="M1" s="63" t="s">
        <v>66</v>
      </c>
      <c r="N1" s="63" t="s">
        <v>67</v>
      </c>
      <c r="O1" s="63" t="s">
        <v>68</v>
      </c>
      <c r="P1" s="63" t="s">
        <v>69</v>
      </c>
      <c r="Q1" s="63" t="s">
        <v>70</v>
      </c>
      <c r="R1" s="63"/>
      <c r="S1" s="63" t="s">
        <v>71</v>
      </c>
      <c r="T1" s="63" t="s">
        <v>72</v>
      </c>
      <c r="U1" s="63" t="s">
        <v>73</v>
      </c>
      <c r="V1" s="63" t="s">
        <v>74</v>
      </c>
      <c r="W1" s="64" t="s">
        <v>75</v>
      </c>
      <c r="X1" s="65"/>
      <c r="Y1" s="66"/>
      <c r="Z1" s="66"/>
    </row>
    <row r="2" spans="1:26" s="53" customFormat="1" ht="15" hidden="1" customHeight="1">
      <c r="A2" s="67">
        <v>1</v>
      </c>
      <c r="B2" s="37" t="s">
        <v>76</v>
      </c>
      <c r="C2" s="68" t="s">
        <v>77</v>
      </c>
      <c r="D2" s="68" t="s">
        <v>78</v>
      </c>
      <c r="E2" s="68"/>
      <c r="F2" s="68">
        <v>10600</v>
      </c>
      <c r="G2" s="68"/>
      <c r="H2" s="68">
        <v>30</v>
      </c>
      <c r="I2" s="68">
        <v>135</v>
      </c>
      <c r="J2" s="68">
        <v>178</v>
      </c>
      <c r="K2" s="67">
        <v>417</v>
      </c>
      <c r="L2" s="68">
        <v>5.5</v>
      </c>
      <c r="M2" s="68">
        <v>39</v>
      </c>
      <c r="N2" s="68"/>
      <c r="O2" s="68">
        <v>10</v>
      </c>
      <c r="P2" s="68">
        <v>25</v>
      </c>
      <c r="Q2" s="67">
        <f t="shared" ref="Q2:Q8" si="0">SUM(G2:P2)</f>
        <v>839.5</v>
      </c>
      <c r="R2" s="67"/>
      <c r="S2" s="69">
        <f t="shared" ref="S2:S8" si="1">Q2+F2</f>
        <v>11439.5</v>
      </c>
      <c r="T2" s="69"/>
      <c r="U2" s="68">
        <v>12280</v>
      </c>
      <c r="V2" s="67">
        <f t="shared" ref="V2:V8" si="2">U2-S2</f>
        <v>840.5</v>
      </c>
      <c r="W2" s="70"/>
      <c r="X2" s="71"/>
      <c r="Y2" s="72"/>
      <c r="Z2" s="72"/>
    </row>
    <row r="3" spans="1:26" s="53" customFormat="1" ht="14.25" hidden="1" customHeight="1">
      <c r="A3" s="67">
        <v>3</v>
      </c>
      <c r="B3" s="37" t="s">
        <v>79</v>
      </c>
      <c r="C3" s="68" t="s">
        <v>77</v>
      </c>
      <c r="D3" s="68" t="s">
        <v>80</v>
      </c>
      <c r="E3" s="68"/>
      <c r="F3" s="68">
        <v>10300</v>
      </c>
      <c r="G3" s="68"/>
      <c r="H3" s="68">
        <v>33</v>
      </c>
      <c r="I3" s="68">
        <v>125</v>
      </c>
      <c r="J3" s="68">
        <v>176</v>
      </c>
      <c r="K3" s="68">
        <v>400</v>
      </c>
      <c r="L3" s="68"/>
      <c r="M3" s="68">
        <v>33</v>
      </c>
      <c r="N3" s="68"/>
      <c r="O3" s="67">
        <v>20</v>
      </c>
      <c r="P3" s="68">
        <v>100</v>
      </c>
      <c r="Q3" s="67">
        <f t="shared" si="0"/>
        <v>887</v>
      </c>
      <c r="R3" s="67"/>
      <c r="S3" s="69">
        <f t="shared" si="1"/>
        <v>11187</v>
      </c>
      <c r="T3" s="69"/>
      <c r="U3" s="68">
        <v>11850</v>
      </c>
      <c r="V3" s="67">
        <f t="shared" si="2"/>
        <v>663</v>
      </c>
      <c r="W3" s="73">
        <f t="shared" ref="W3:W17" si="3">T:T-F:F</f>
        <v>-10300</v>
      </c>
      <c r="X3" s="71"/>
      <c r="Y3" s="72"/>
      <c r="Z3" s="72"/>
    </row>
    <row r="4" spans="1:26" s="53" customFormat="1" ht="15" hidden="1">
      <c r="A4" s="67">
        <v>4</v>
      </c>
      <c r="B4" s="37" t="s">
        <v>81</v>
      </c>
      <c r="C4" s="68" t="s">
        <v>77</v>
      </c>
      <c r="D4" s="68" t="s">
        <v>82</v>
      </c>
      <c r="E4" s="68"/>
      <c r="F4" s="68">
        <v>7950</v>
      </c>
      <c r="G4" s="68"/>
      <c r="H4" s="68"/>
      <c r="I4" s="68">
        <v>100</v>
      </c>
      <c r="J4" s="68">
        <v>210</v>
      </c>
      <c r="K4" s="68"/>
      <c r="L4" s="68"/>
      <c r="M4" s="68">
        <v>105</v>
      </c>
      <c r="N4" s="68">
        <v>5</v>
      </c>
      <c r="O4" s="68">
        <v>10</v>
      </c>
      <c r="P4" s="68">
        <v>25</v>
      </c>
      <c r="Q4" s="67">
        <f t="shared" si="0"/>
        <v>455</v>
      </c>
      <c r="R4" s="67"/>
      <c r="S4" s="69">
        <f t="shared" si="1"/>
        <v>8405</v>
      </c>
      <c r="T4" s="69"/>
      <c r="U4" s="68">
        <v>9250</v>
      </c>
      <c r="V4" s="67">
        <f t="shared" si="2"/>
        <v>845</v>
      </c>
      <c r="W4" s="73">
        <f t="shared" si="3"/>
        <v>-7950</v>
      </c>
      <c r="X4" s="71"/>
      <c r="Y4" s="72"/>
      <c r="Z4" s="72"/>
    </row>
    <row r="5" spans="1:26" s="53" customFormat="1" ht="14.25" hidden="1" customHeight="1">
      <c r="A5" s="67">
        <v>5</v>
      </c>
      <c r="B5" s="37" t="s">
        <v>83</v>
      </c>
      <c r="C5" s="68" t="s">
        <v>77</v>
      </c>
      <c r="D5" s="68" t="s">
        <v>84</v>
      </c>
      <c r="E5" s="68"/>
      <c r="F5" s="68">
        <v>13460</v>
      </c>
      <c r="G5" s="68">
        <v>2</v>
      </c>
      <c r="H5" s="67">
        <v>40</v>
      </c>
      <c r="I5" s="68"/>
      <c r="J5" s="68">
        <v>25</v>
      </c>
      <c r="K5" s="68"/>
      <c r="L5" s="68"/>
      <c r="M5" s="68"/>
      <c r="N5" s="68">
        <v>2</v>
      </c>
      <c r="O5" s="68">
        <v>10</v>
      </c>
      <c r="P5" s="68"/>
      <c r="Q5" s="67">
        <f t="shared" si="0"/>
        <v>79</v>
      </c>
      <c r="R5" s="67"/>
      <c r="S5" s="69">
        <f t="shared" si="1"/>
        <v>13539</v>
      </c>
      <c r="T5" s="69"/>
      <c r="U5" s="68">
        <v>13900</v>
      </c>
      <c r="V5" s="67">
        <f t="shared" si="2"/>
        <v>361</v>
      </c>
      <c r="W5" s="73">
        <f t="shared" si="3"/>
        <v>-13460</v>
      </c>
      <c r="X5" s="71"/>
      <c r="Y5" s="72"/>
      <c r="Z5" s="72"/>
    </row>
    <row r="6" spans="1:26" s="54" customFormat="1" ht="14.25" customHeight="1">
      <c r="A6" s="74">
        <v>1</v>
      </c>
      <c r="B6" s="75" t="s">
        <v>85</v>
      </c>
      <c r="C6" s="76" t="s">
        <v>77</v>
      </c>
      <c r="D6" s="76"/>
      <c r="E6" s="76"/>
      <c r="F6" s="76">
        <v>12300</v>
      </c>
      <c r="G6" s="76"/>
      <c r="H6" s="74"/>
      <c r="J6" s="76"/>
      <c r="K6" s="76"/>
      <c r="L6" s="76"/>
      <c r="M6" s="76"/>
      <c r="N6" s="76"/>
      <c r="O6" s="76">
        <v>3</v>
      </c>
      <c r="P6" s="76"/>
      <c r="Q6" s="74">
        <f t="shared" si="0"/>
        <v>3</v>
      </c>
      <c r="R6" s="74"/>
      <c r="S6" s="74">
        <f t="shared" si="1"/>
        <v>12303</v>
      </c>
      <c r="T6" s="77"/>
      <c r="U6" s="76"/>
      <c r="V6" s="74">
        <f t="shared" si="2"/>
        <v>-12303</v>
      </c>
      <c r="W6" s="78">
        <f t="shared" si="3"/>
        <v>-12300</v>
      </c>
      <c r="X6" s="79"/>
      <c r="Y6" s="80"/>
      <c r="Z6" s="80"/>
    </row>
    <row r="7" spans="1:26" s="55" customFormat="1" ht="15" hidden="1">
      <c r="A7" s="74">
        <v>1</v>
      </c>
      <c r="B7" s="81" t="s">
        <v>86</v>
      </c>
      <c r="C7" s="82" t="s">
        <v>87</v>
      </c>
      <c r="D7" s="82"/>
      <c r="E7" s="82"/>
      <c r="F7" s="82">
        <v>11600</v>
      </c>
      <c r="G7" s="82"/>
      <c r="H7" s="83"/>
      <c r="I7" s="82">
        <v>80</v>
      </c>
      <c r="J7" s="82">
        <v>242</v>
      </c>
      <c r="K7" s="82"/>
      <c r="L7" s="82"/>
      <c r="M7" s="82">
        <v>320</v>
      </c>
      <c r="N7" s="82">
        <v>10</v>
      </c>
      <c r="O7" s="82">
        <v>70</v>
      </c>
      <c r="P7" s="82">
        <v>100</v>
      </c>
      <c r="Q7" s="74">
        <f t="shared" si="0"/>
        <v>822</v>
      </c>
      <c r="R7" s="83"/>
      <c r="S7" s="74">
        <f t="shared" si="1"/>
        <v>12422</v>
      </c>
      <c r="T7" s="83">
        <v>14500</v>
      </c>
      <c r="U7" s="82">
        <v>13100</v>
      </c>
      <c r="V7" s="74">
        <f t="shared" si="2"/>
        <v>678</v>
      </c>
      <c r="W7" s="78">
        <f t="shared" si="3"/>
        <v>2900</v>
      </c>
      <c r="X7" s="85"/>
      <c r="Y7" s="86"/>
      <c r="Z7" s="86"/>
    </row>
    <row r="8" spans="1:26" s="53" customFormat="1" ht="15">
      <c r="A8" s="67">
        <v>2</v>
      </c>
      <c r="B8" s="37" t="s">
        <v>88</v>
      </c>
      <c r="C8" s="68" t="s">
        <v>87</v>
      </c>
      <c r="D8" s="68"/>
      <c r="E8" s="68"/>
      <c r="F8" s="68">
        <v>13200</v>
      </c>
      <c r="G8" s="68"/>
      <c r="H8" s="67">
        <v>0</v>
      </c>
      <c r="I8" s="68"/>
      <c r="J8" s="68"/>
      <c r="K8" s="68"/>
      <c r="L8" s="68">
        <v>2</v>
      </c>
      <c r="M8" s="68"/>
      <c r="N8" s="68">
        <v>20</v>
      </c>
      <c r="O8" s="68">
        <v>5</v>
      </c>
      <c r="P8" s="68">
        <v>50</v>
      </c>
      <c r="Q8" s="67">
        <f t="shared" si="0"/>
        <v>77</v>
      </c>
      <c r="R8" s="67"/>
      <c r="S8" s="67">
        <f t="shared" si="1"/>
        <v>13277</v>
      </c>
      <c r="T8" s="67">
        <v>13500</v>
      </c>
      <c r="U8" s="68">
        <v>13500</v>
      </c>
      <c r="V8" s="67">
        <f t="shared" si="2"/>
        <v>223</v>
      </c>
      <c r="W8" s="78">
        <f t="shared" si="3"/>
        <v>300</v>
      </c>
      <c r="X8" s="71"/>
      <c r="Y8" s="72"/>
      <c r="Z8" s="72"/>
    </row>
    <row r="9" spans="1:26" s="55" customFormat="1" ht="15" hidden="1">
      <c r="A9" s="83">
        <v>3</v>
      </c>
      <c r="B9" s="81" t="s">
        <v>89</v>
      </c>
      <c r="C9" s="82" t="s">
        <v>87</v>
      </c>
      <c r="D9" s="82"/>
      <c r="E9" s="82"/>
      <c r="F9" s="82">
        <v>12600</v>
      </c>
      <c r="G9" s="82"/>
      <c r="H9" s="83">
        <v>6.5</v>
      </c>
      <c r="I9" s="82">
        <v>105</v>
      </c>
      <c r="J9" s="83">
        <v>148</v>
      </c>
      <c r="K9" s="82">
        <v>400</v>
      </c>
      <c r="L9" s="82">
        <v>8</v>
      </c>
      <c r="M9" s="83">
        <v>33</v>
      </c>
      <c r="N9" s="82">
        <v>10</v>
      </c>
      <c r="O9" s="82">
        <v>70</v>
      </c>
      <c r="P9" s="82">
        <v>110</v>
      </c>
      <c r="Q9" s="83">
        <f t="shared" ref="Q9:Q37" si="4">SUM(G9:P9)</f>
        <v>890.5</v>
      </c>
      <c r="R9" s="83"/>
      <c r="S9" s="83">
        <f t="shared" ref="S9:S34" si="5">Q9+F9</f>
        <v>13490.5</v>
      </c>
      <c r="T9" s="83">
        <v>12800</v>
      </c>
      <c r="U9" s="82">
        <v>14000</v>
      </c>
      <c r="V9" s="83">
        <f t="shared" ref="V9:V18" si="6">U9-S9</f>
        <v>509.5</v>
      </c>
      <c r="W9" s="84">
        <f t="shared" si="3"/>
        <v>200</v>
      </c>
      <c r="X9" s="85"/>
      <c r="Y9" s="86"/>
      <c r="Z9" s="86"/>
    </row>
    <row r="10" spans="1:26" s="55" customFormat="1" ht="15" hidden="1">
      <c r="A10" s="74">
        <v>2.8333333333333299</v>
      </c>
      <c r="B10" s="81" t="s">
        <v>90</v>
      </c>
      <c r="C10" s="82" t="s">
        <v>87</v>
      </c>
      <c r="D10" s="82"/>
      <c r="E10" s="82"/>
      <c r="F10" s="82">
        <v>13500</v>
      </c>
      <c r="G10" s="82"/>
      <c r="H10" s="83">
        <v>26</v>
      </c>
      <c r="I10" s="82">
        <v>80</v>
      </c>
      <c r="J10" s="83">
        <v>257</v>
      </c>
      <c r="K10" s="82"/>
      <c r="L10" s="82"/>
      <c r="M10" s="83">
        <v>336.5</v>
      </c>
      <c r="N10" s="82">
        <v>10</v>
      </c>
      <c r="O10" s="82">
        <v>10</v>
      </c>
      <c r="P10" s="82">
        <v>50</v>
      </c>
      <c r="Q10" s="83">
        <f t="shared" si="4"/>
        <v>769.5</v>
      </c>
      <c r="R10" s="83"/>
      <c r="S10" s="83">
        <f t="shared" si="5"/>
        <v>14269.5</v>
      </c>
      <c r="T10" s="83">
        <v>15500</v>
      </c>
      <c r="U10" s="82">
        <v>14475</v>
      </c>
      <c r="V10" s="83">
        <f t="shared" si="6"/>
        <v>205.5</v>
      </c>
      <c r="W10" s="84">
        <f t="shared" si="3"/>
        <v>2000</v>
      </c>
      <c r="X10" s="85"/>
      <c r="Y10" s="86"/>
      <c r="Z10" s="86"/>
    </row>
    <row r="11" spans="1:26" s="56" customFormat="1" ht="17.25" hidden="1" customHeight="1">
      <c r="A11" s="74">
        <v>3.3333333333333299</v>
      </c>
      <c r="B11" s="87" t="s">
        <v>91</v>
      </c>
      <c r="C11" s="88" t="s">
        <v>87</v>
      </c>
      <c r="D11" s="88"/>
      <c r="E11" s="88"/>
      <c r="F11" s="88">
        <v>14200</v>
      </c>
      <c r="G11" s="88"/>
      <c r="H11" s="89"/>
      <c r="I11" s="88"/>
      <c r="J11" s="89">
        <v>295.5</v>
      </c>
      <c r="K11" s="88"/>
      <c r="L11" s="88"/>
      <c r="M11" s="89">
        <v>367</v>
      </c>
      <c r="N11" s="88">
        <v>10</v>
      </c>
      <c r="O11" s="88">
        <v>40</v>
      </c>
      <c r="P11" s="88">
        <v>25</v>
      </c>
      <c r="Q11" s="74">
        <f t="shared" si="4"/>
        <v>737.5</v>
      </c>
      <c r="R11" s="89"/>
      <c r="S11" s="74">
        <f t="shared" si="5"/>
        <v>14937.5</v>
      </c>
      <c r="T11" s="89"/>
      <c r="U11" s="88">
        <v>15300</v>
      </c>
      <c r="V11" s="74">
        <f t="shared" si="6"/>
        <v>362.5</v>
      </c>
      <c r="W11" s="73">
        <f t="shared" si="3"/>
        <v>-14200</v>
      </c>
      <c r="X11" s="90">
        <v>500</v>
      </c>
      <c r="Y11" s="91" t="s">
        <v>92</v>
      </c>
      <c r="Z11" s="91"/>
    </row>
    <row r="12" spans="1:26" s="55" customFormat="1" ht="17.25" hidden="1" customHeight="1">
      <c r="A12" s="74">
        <v>3.8333333333333299</v>
      </c>
      <c r="B12" s="81" t="s">
        <v>93</v>
      </c>
      <c r="C12" s="82" t="s">
        <v>77</v>
      </c>
      <c r="D12" s="82"/>
      <c r="E12" s="82"/>
      <c r="F12" s="82">
        <v>9800</v>
      </c>
      <c r="G12" s="82"/>
      <c r="H12" s="83">
        <v>1.5</v>
      </c>
      <c r="I12" s="82">
        <v>100</v>
      </c>
      <c r="J12" s="83">
        <v>161</v>
      </c>
      <c r="K12" s="82">
        <v>400</v>
      </c>
      <c r="L12" s="82"/>
      <c r="M12" s="83">
        <v>36</v>
      </c>
      <c r="N12" s="82">
        <v>10</v>
      </c>
      <c r="O12" s="82">
        <v>21</v>
      </c>
      <c r="P12" s="92">
        <v>100</v>
      </c>
      <c r="Q12" s="74">
        <f t="shared" si="4"/>
        <v>829.5</v>
      </c>
      <c r="R12" s="83"/>
      <c r="S12" s="74">
        <f t="shared" si="5"/>
        <v>10629.5</v>
      </c>
      <c r="T12" s="83">
        <v>12000</v>
      </c>
      <c r="U12" s="82">
        <v>12200</v>
      </c>
      <c r="V12" s="74">
        <f t="shared" si="6"/>
        <v>1570.5</v>
      </c>
      <c r="W12" s="84">
        <f t="shared" si="3"/>
        <v>2200</v>
      </c>
      <c r="X12" s="85"/>
      <c r="Y12" s="86"/>
      <c r="Z12" s="86"/>
    </row>
    <row r="13" spans="1:26" s="55" customFormat="1" ht="17.25" hidden="1" customHeight="1">
      <c r="A13" s="74">
        <v>4.3333333333333304</v>
      </c>
      <c r="B13" s="81" t="s">
        <v>94</v>
      </c>
      <c r="C13" s="82" t="s">
        <v>77</v>
      </c>
      <c r="D13" s="82"/>
      <c r="E13" s="82"/>
      <c r="F13" s="82">
        <v>10000</v>
      </c>
      <c r="G13" s="82"/>
      <c r="H13" s="83"/>
      <c r="I13" s="82">
        <v>105</v>
      </c>
      <c r="J13" s="83">
        <v>171</v>
      </c>
      <c r="K13" s="82">
        <v>400</v>
      </c>
      <c r="L13" s="82"/>
      <c r="M13" s="83">
        <v>33</v>
      </c>
      <c r="N13" s="82">
        <v>10</v>
      </c>
      <c r="O13" s="82">
        <v>68</v>
      </c>
      <c r="P13" s="83">
        <v>100</v>
      </c>
      <c r="Q13" s="74">
        <f t="shared" si="4"/>
        <v>887</v>
      </c>
      <c r="R13" s="83"/>
      <c r="S13" s="74">
        <f t="shared" si="5"/>
        <v>10887</v>
      </c>
      <c r="T13" s="83">
        <v>12300</v>
      </c>
      <c r="U13" s="82">
        <v>12020</v>
      </c>
      <c r="V13" s="74">
        <f t="shared" si="6"/>
        <v>1133</v>
      </c>
      <c r="W13" s="84">
        <f t="shared" si="3"/>
        <v>2300</v>
      </c>
      <c r="X13" s="85"/>
      <c r="Y13" s="86"/>
      <c r="Z13" s="86"/>
    </row>
    <row r="14" spans="1:26" s="55" customFormat="1" ht="17.25" hidden="1" customHeight="1">
      <c r="A14" s="74">
        <v>4.8333333333333304</v>
      </c>
      <c r="B14" s="81" t="s">
        <v>95</v>
      </c>
      <c r="C14" s="82" t="s">
        <v>77</v>
      </c>
      <c r="D14" s="82"/>
      <c r="E14" s="82"/>
      <c r="F14" s="82">
        <v>11300</v>
      </c>
      <c r="G14" s="82"/>
      <c r="H14" s="83">
        <v>12</v>
      </c>
      <c r="I14" s="82">
        <v>145</v>
      </c>
      <c r="J14" s="83">
        <v>159</v>
      </c>
      <c r="K14" s="83">
        <v>400</v>
      </c>
      <c r="L14" s="82"/>
      <c r="M14" s="83">
        <v>48</v>
      </c>
      <c r="N14" s="82">
        <v>10</v>
      </c>
      <c r="O14" s="82">
        <v>116</v>
      </c>
      <c r="P14" s="92">
        <v>100</v>
      </c>
      <c r="Q14" s="74">
        <f t="shared" si="4"/>
        <v>990</v>
      </c>
      <c r="R14" s="83"/>
      <c r="S14" s="74">
        <f t="shared" si="5"/>
        <v>12290</v>
      </c>
      <c r="T14" s="83">
        <v>13200</v>
      </c>
      <c r="U14" s="82">
        <v>13198</v>
      </c>
      <c r="V14" s="74">
        <f t="shared" si="6"/>
        <v>908</v>
      </c>
      <c r="W14" s="84">
        <f t="shared" si="3"/>
        <v>1900</v>
      </c>
      <c r="X14" s="85"/>
      <c r="Y14" s="86"/>
      <c r="Z14" s="86"/>
    </row>
    <row r="15" spans="1:26" s="55" customFormat="1" ht="17.25" hidden="1" customHeight="1">
      <c r="A15" s="74">
        <v>5.3333333333333304</v>
      </c>
      <c r="B15" s="81" t="s">
        <v>96</v>
      </c>
      <c r="C15" s="82" t="s">
        <v>97</v>
      </c>
      <c r="D15" s="82"/>
      <c r="E15" s="82"/>
      <c r="F15" s="82">
        <v>7400</v>
      </c>
      <c r="G15" s="82"/>
      <c r="H15" s="83">
        <v>55</v>
      </c>
      <c r="I15" s="82">
        <v>100</v>
      </c>
      <c r="J15" s="83">
        <v>271</v>
      </c>
      <c r="K15" s="82"/>
      <c r="L15" s="82"/>
      <c r="M15" s="83">
        <v>102</v>
      </c>
      <c r="N15" s="82"/>
      <c r="O15" s="82">
        <v>500</v>
      </c>
      <c r="P15" s="83">
        <v>486</v>
      </c>
      <c r="Q15" s="74">
        <f t="shared" si="4"/>
        <v>1514</v>
      </c>
      <c r="R15" s="83"/>
      <c r="S15" s="74">
        <f t="shared" si="5"/>
        <v>8914</v>
      </c>
      <c r="T15" s="83">
        <v>10600</v>
      </c>
      <c r="U15" s="82">
        <v>9500</v>
      </c>
      <c r="V15" s="74">
        <f t="shared" si="6"/>
        <v>586</v>
      </c>
      <c r="W15" s="84">
        <f t="shared" si="3"/>
        <v>3200</v>
      </c>
      <c r="X15" s="85"/>
      <c r="Y15" s="86"/>
      <c r="Z15" s="86"/>
    </row>
    <row r="16" spans="1:26" s="56" customFormat="1" ht="17.25" hidden="1" customHeight="1">
      <c r="A16" s="74">
        <v>5.8333333333333304</v>
      </c>
      <c r="B16" s="87" t="s">
        <v>98</v>
      </c>
      <c r="C16" s="88" t="s">
        <v>77</v>
      </c>
      <c r="D16" s="88"/>
      <c r="E16" s="88"/>
      <c r="F16" s="88">
        <v>9945</v>
      </c>
      <c r="G16" s="88"/>
      <c r="H16" s="89">
        <v>72</v>
      </c>
      <c r="I16" s="88">
        <v>50</v>
      </c>
      <c r="J16" s="89">
        <v>249</v>
      </c>
      <c r="K16" s="88"/>
      <c r="L16" s="88"/>
      <c r="M16" s="89">
        <v>68</v>
      </c>
      <c r="N16" s="88">
        <v>10</v>
      </c>
      <c r="O16" s="88">
        <v>23</v>
      </c>
      <c r="P16" s="89">
        <v>100</v>
      </c>
      <c r="Q16" s="74">
        <f t="shared" si="4"/>
        <v>572</v>
      </c>
      <c r="R16" s="89"/>
      <c r="S16" s="74">
        <f t="shared" si="5"/>
        <v>10517</v>
      </c>
      <c r="T16" s="89">
        <v>11700</v>
      </c>
      <c r="U16" s="88">
        <v>10680</v>
      </c>
      <c r="V16" s="74">
        <f t="shared" si="6"/>
        <v>163</v>
      </c>
      <c r="W16" s="73">
        <f t="shared" si="3"/>
        <v>1755</v>
      </c>
      <c r="X16" s="90"/>
      <c r="Y16" s="91"/>
      <c r="Z16" s="91"/>
    </row>
    <row r="17" spans="1:26" s="55" customFormat="1" ht="17.25" hidden="1" customHeight="1">
      <c r="A17" s="74">
        <v>6.3333333333333304</v>
      </c>
      <c r="B17" s="81" t="s">
        <v>99</v>
      </c>
      <c r="C17" s="82" t="s">
        <v>77</v>
      </c>
      <c r="D17" s="82"/>
      <c r="E17" s="82"/>
      <c r="F17" s="82">
        <v>8000</v>
      </c>
      <c r="G17" s="82"/>
      <c r="H17" s="83">
        <v>146</v>
      </c>
      <c r="I17" s="82">
        <v>80</v>
      </c>
      <c r="J17" s="83">
        <v>225</v>
      </c>
      <c r="K17" s="82"/>
      <c r="L17" s="82"/>
      <c r="M17" s="83">
        <v>272</v>
      </c>
      <c r="N17" s="82">
        <v>10</v>
      </c>
      <c r="O17" s="82">
        <v>4</v>
      </c>
      <c r="P17" s="92">
        <v>100</v>
      </c>
      <c r="Q17" s="74">
        <f t="shared" si="4"/>
        <v>837</v>
      </c>
      <c r="R17" s="83"/>
      <c r="S17" s="74">
        <f t="shared" si="5"/>
        <v>8837</v>
      </c>
      <c r="T17" s="83">
        <v>12400</v>
      </c>
      <c r="U17" s="82">
        <v>10850</v>
      </c>
      <c r="V17" s="74">
        <f t="shared" si="6"/>
        <v>2013</v>
      </c>
      <c r="W17" s="84">
        <f t="shared" si="3"/>
        <v>4400</v>
      </c>
      <c r="X17" s="85"/>
      <c r="Y17" s="86"/>
      <c r="Z17" s="86"/>
    </row>
    <row r="18" spans="1:26" s="56" customFormat="1" ht="15" hidden="1">
      <c r="A18" s="74">
        <v>6.8333333333333304</v>
      </c>
      <c r="B18" s="87" t="s">
        <v>100</v>
      </c>
      <c r="C18" s="88" t="s">
        <v>101</v>
      </c>
      <c r="D18" s="88"/>
      <c r="E18" s="88"/>
      <c r="F18" s="88">
        <v>11295</v>
      </c>
      <c r="G18" s="88"/>
      <c r="H18" s="89"/>
      <c r="I18" s="88">
        <v>80</v>
      </c>
      <c r="J18" s="89">
        <v>196</v>
      </c>
      <c r="K18" s="88"/>
      <c r="L18" s="88"/>
      <c r="M18" s="89">
        <v>114</v>
      </c>
      <c r="N18" s="88"/>
      <c r="O18" s="88">
        <v>3</v>
      </c>
      <c r="P18" s="89">
        <v>100</v>
      </c>
      <c r="Q18" s="89">
        <f t="shared" si="4"/>
        <v>493</v>
      </c>
      <c r="R18" s="89"/>
      <c r="S18" s="89">
        <f t="shared" si="5"/>
        <v>11788</v>
      </c>
      <c r="T18" s="89">
        <v>13900</v>
      </c>
      <c r="U18" s="88">
        <v>12620</v>
      </c>
      <c r="V18" s="89">
        <f t="shared" si="6"/>
        <v>832</v>
      </c>
      <c r="W18" s="73">
        <v>13900</v>
      </c>
      <c r="X18" s="90"/>
      <c r="Y18" s="91"/>
      <c r="Z18" s="91"/>
    </row>
    <row r="19" spans="1:26" s="54" customFormat="1" ht="15">
      <c r="A19" s="74">
        <v>3</v>
      </c>
      <c r="B19" s="75" t="s">
        <v>102</v>
      </c>
      <c r="C19" s="76" t="s">
        <v>77</v>
      </c>
      <c r="D19" s="76"/>
      <c r="E19" s="76"/>
      <c r="F19" s="76">
        <v>14500</v>
      </c>
      <c r="G19" s="76"/>
      <c r="H19" s="74"/>
      <c r="I19" s="76"/>
      <c r="J19" s="74"/>
      <c r="K19" s="76"/>
      <c r="L19" s="76"/>
      <c r="M19" s="74"/>
      <c r="N19" s="76"/>
      <c r="O19" s="76">
        <v>5</v>
      </c>
      <c r="P19" s="77"/>
      <c r="Q19" s="74">
        <f t="shared" si="4"/>
        <v>5</v>
      </c>
      <c r="R19" s="74"/>
      <c r="S19" s="74">
        <f t="shared" si="5"/>
        <v>14505</v>
      </c>
      <c r="T19" s="74"/>
      <c r="U19" s="76"/>
      <c r="V19" s="74">
        <f t="shared" ref="V19:V37" si="7">U19-S19</f>
        <v>-14505</v>
      </c>
      <c r="W19" s="78">
        <f t="shared" ref="W19:W53" si="8">T:T-F:F</f>
        <v>-14500</v>
      </c>
      <c r="X19" s="79"/>
      <c r="Y19" s="80"/>
      <c r="Z19" s="80"/>
    </row>
    <row r="20" spans="1:26" s="53" customFormat="1" ht="15" hidden="1">
      <c r="A20" s="74">
        <v>7.8333333333333304</v>
      </c>
      <c r="B20" s="37" t="s">
        <v>103</v>
      </c>
      <c r="C20" s="68" t="s">
        <v>101</v>
      </c>
      <c r="D20" s="68"/>
      <c r="E20" s="68"/>
      <c r="F20" s="68">
        <v>10900</v>
      </c>
      <c r="G20" s="68"/>
      <c r="H20" s="67"/>
      <c r="I20" s="68">
        <v>70</v>
      </c>
      <c r="J20" s="67">
        <v>89</v>
      </c>
      <c r="K20" s="68">
        <v>402</v>
      </c>
      <c r="L20" s="68"/>
      <c r="M20" s="67">
        <v>39</v>
      </c>
      <c r="N20" s="68"/>
      <c r="O20" s="68">
        <v>3</v>
      </c>
      <c r="P20" s="67">
        <v>50</v>
      </c>
      <c r="Q20" s="67">
        <f t="shared" si="4"/>
        <v>653</v>
      </c>
      <c r="R20" s="67"/>
      <c r="S20" s="67">
        <f t="shared" si="5"/>
        <v>11553</v>
      </c>
      <c r="T20" s="67">
        <v>12500</v>
      </c>
      <c r="U20" s="68">
        <v>12625</v>
      </c>
      <c r="V20" s="67">
        <f t="shared" si="7"/>
        <v>1072</v>
      </c>
      <c r="W20" s="93">
        <f t="shared" si="8"/>
        <v>1600</v>
      </c>
      <c r="X20" s="71">
        <v>12500</v>
      </c>
      <c r="Y20" s="72"/>
      <c r="Z20" s="72"/>
    </row>
    <row r="21" spans="1:26" s="53" customFormat="1" ht="15" hidden="1">
      <c r="A21" s="74">
        <v>8.3333333333333304</v>
      </c>
      <c r="B21" s="37" t="s">
        <v>104</v>
      </c>
      <c r="C21" s="68" t="s">
        <v>101</v>
      </c>
      <c r="D21" s="68"/>
      <c r="E21" s="68"/>
      <c r="F21" s="68">
        <v>7600</v>
      </c>
      <c r="G21" s="68"/>
      <c r="H21" s="67"/>
      <c r="I21" s="68">
        <v>110</v>
      </c>
      <c r="J21" s="67">
        <v>275</v>
      </c>
      <c r="K21" s="68">
        <v>0</v>
      </c>
      <c r="L21" s="68"/>
      <c r="M21" s="67">
        <v>107</v>
      </c>
      <c r="N21" s="68"/>
      <c r="O21" s="68">
        <v>7.5</v>
      </c>
      <c r="P21" s="67">
        <v>150</v>
      </c>
      <c r="Q21" s="67">
        <f t="shared" si="4"/>
        <v>649.5</v>
      </c>
      <c r="R21" s="67"/>
      <c r="S21" s="67">
        <f t="shared" si="5"/>
        <v>8249.5</v>
      </c>
      <c r="T21" s="67">
        <v>10800</v>
      </c>
      <c r="U21" s="68">
        <v>9590</v>
      </c>
      <c r="V21" s="67">
        <f t="shared" si="7"/>
        <v>1340.5</v>
      </c>
      <c r="W21" s="93">
        <f t="shared" si="8"/>
        <v>3200</v>
      </c>
      <c r="X21" s="71">
        <v>10800</v>
      </c>
      <c r="Y21" s="72"/>
      <c r="Z21" s="72"/>
    </row>
    <row r="22" spans="1:26" s="54" customFormat="1" ht="17.25" customHeight="1">
      <c r="A22" s="74">
        <v>4</v>
      </c>
      <c r="B22" s="75" t="s">
        <v>105</v>
      </c>
      <c r="C22" s="76" t="s">
        <v>77</v>
      </c>
      <c r="D22" s="76"/>
      <c r="E22" s="76"/>
      <c r="F22" s="76">
        <v>15500</v>
      </c>
      <c r="G22" s="76"/>
      <c r="H22" s="74">
        <v>35</v>
      </c>
      <c r="I22" s="76"/>
      <c r="J22" s="74"/>
      <c r="K22" s="76"/>
      <c r="L22" s="76"/>
      <c r="M22" s="74"/>
      <c r="N22" s="76"/>
      <c r="O22" s="76">
        <v>6</v>
      </c>
      <c r="P22" s="77"/>
      <c r="Q22" s="74">
        <f t="shared" si="4"/>
        <v>41</v>
      </c>
      <c r="R22" s="74"/>
      <c r="S22" s="74">
        <f t="shared" si="5"/>
        <v>15541</v>
      </c>
      <c r="T22" s="74"/>
      <c r="U22" s="76"/>
      <c r="V22" s="74">
        <f t="shared" si="7"/>
        <v>-15541</v>
      </c>
      <c r="W22" s="78">
        <f t="shared" si="8"/>
        <v>-15500</v>
      </c>
      <c r="X22" s="79"/>
      <c r="Y22" s="80"/>
      <c r="Z22" s="80"/>
    </row>
    <row r="23" spans="1:26" s="53" customFormat="1" ht="15" hidden="1">
      <c r="A23" s="74">
        <v>9.3333333333333304</v>
      </c>
      <c r="B23" s="37" t="s">
        <v>106</v>
      </c>
      <c r="C23" s="68" t="s">
        <v>77</v>
      </c>
      <c r="D23" s="68"/>
      <c r="E23" s="68"/>
      <c r="F23" s="68">
        <v>11500</v>
      </c>
      <c r="G23" s="68"/>
      <c r="H23" s="67">
        <v>48</v>
      </c>
      <c r="I23" s="67">
        <v>80</v>
      </c>
      <c r="J23" s="67">
        <v>168</v>
      </c>
      <c r="K23" s="67">
        <v>402</v>
      </c>
      <c r="L23" s="67"/>
      <c r="M23" s="67">
        <v>39</v>
      </c>
      <c r="N23" s="68">
        <v>10</v>
      </c>
      <c r="O23" s="68">
        <v>81</v>
      </c>
      <c r="P23" s="67">
        <v>100</v>
      </c>
      <c r="Q23" s="67">
        <f t="shared" si="4"/>
        <v>928</v>
      </c>
      <c r="R23" s="67"/>
      <c r="S23" s="67">
        <f t="shared" si="5"/>
        <v>12428</v>
      </c>
      <c r="T23" s="67">
        <v>12900</v>
      </c>
      <c r="U23" s="68">
        <v>13365</v>
      </c>
      <c r="V23" s="67">
        <f t="shared" si="7"/>
        <v>937</v>
      </c>
      <c r="W23" s="93">
        <f t="shared" si="8"/>
        <v>1400</v>
      </c>
      <c r="X23" s="71"/>
      <c r="Y23" s="72"/>
      <c r="Z23" s="72"/>
    </row>
    <row r="24" spans="1:26" s="55" customFormat="1" ht="17.25" hidden="1" customHeight="1">
      <c r="A24" s="74">
        <v>9.8333333333333304</v>
      </c>
      <c r="B24" s="81" t="s">
        <v>107</v>
      </c>
      <c r="C24" s="82" t="s">
        <v>77</v>
      </c>
      <c r="D24" s="82"/>
      <c r="E24" s="82"/>
      <c r="F24" s="82">
        <v>9000</v>
      </c>
      <c r="G24" s="82"/>
      <c r="H24" s="83">
        <v>28</v>
      </c>
      <c r="I24" s="82">
        <v>80</v>
      </c>
      <c r="J24" s="83">
        <v>225</v>
      </c>
      <c r="K24" s="82"/>
      <c r="L24" s="82"/>
      <c r="M24" s="83">
        <v>265</v>
      </c>
      <c r="N24" s="82">
        <v>10</v>
      </c>
      <c r="O24" s="82">
        <v>7</v>
      </c>
      <c r="P24" s="92">
        <v>100</v>
      </c>
      <c r="Q24" s="83">
        <f t="shared" si="4"/>
        <v>715</v>
      </c>
      <c r="R24" s="83"/>
      <c r="S24" s="83">
        <f t="shared" si="5"/>
        <v>9715</v>
      </c>
      <c r="T24" s="83">
        <v>12200</v>
      </c>
      <c r="U24" s="82">
        <v>11250</v>
      </c>
      <c r="V24" s="83">
        <f t="shared" si="7"/>
        <v>1535</v>
      </c>
      <c r="W24" s="84">
        <f t="shared" si="8"/>
        <v>3200</v>
      </c>
      <c r="X24" s="85"/>
      <c r="Y24" s="86"/>
      <c r="Z24" s="86"/>
    </row>
    <row r="25" spans="1:26" s="56" customFormat="1" ht="17.25" hidden="1" customHeight="1">
      <c r="A25" s="74">
        <v>10.3333333333333</v>
      </c>
      <c r="B25" s="87" t="s">
        <v>108</v>
      </c>
      <c r="C25" s="88" t="s">
        <v>97</v>
      </c>
      <c r="D25" s="88"/>
      <c r="E25" s="88"/>
      <c r="F25" s="88">
        <v>10500</v>
      </c>
      <c r="G25" s="88"/>
      <c r="H25" s="89">
        <v>75</v>
      </c>
      <c r="I25" s="88">
        <v>100</v>
      </c>
      <c r="J25" s="89">
        <v>333</v>
      </c>
      <c r="K25" s="88"/>
      <c r="L25" s="88"/>
      <c r="M25" s="89">
        <v>117</v>
      </c>
      <c r="N25" s="88"/>
      <c r="O25" s="88"/>
      <c r="P25" s="94"/>
      <c r="Q25" s="89">
        <f t="shared" si="4"/>
        <v>625</v>
      </c>
      <c r="R25" s="89"/>
      <c r="S25" s="89">
        <f t="shared" si="5"/>
        <v>11125</v>
      </c>
      <c r="T25" s="89">
        <v>13500</v>
      </c>
      <c r="U25" s="88">
        <v>12100</v>
      </c>
      <c r="V25" s="89">
        <f t="shared" si="7"/>
        <v>975</v>
      </c>
      <c r="W25" s="73">
        <f t="shared" si="8"/>
        <v>3000</v>
      </c>
      <c r="X25" s="90"/>
      <c r="Y25" s="91"/>
      <c r="Z25" s="91"/>
    </row>
    <row r="26" spans="1:26" s="54" customFormat="1" ht="17.25" customHeight="1">
      <c r="A26" s="74">
        <v>5</v>
      </c>
      <c r="B26" s="75" t="s">
        <v>109</v>
      </c>
      <c r="C26" s="76" t="s">
        <v>77</v>
      </c>
      <c r="D26" s="76"/>
      <c r="E26" s="76"/>
      <c r="F26" s="76">
        <v>12000</v>
      </c>
      <c r="G26" s="76">
        <v>1.5</v>
      </c>
      <c r="H26" s="74"/>
      <c r="I26" s="76"/>
      <c r="J26" s="74"/>
      <c r="K26" s="76"/>
      <c r="L26" s="76"/>
      <c r="M26" s="74"/>
      <c r="N26" s="76"/>
      <c r="O26" s="76">
        <v>10</v>
      </c>
      <c r="P26" s="77"/>
      <c r="Q26" s="74">
        <f t="shared" si="4"/>
        <v>11.5</v>
      </c>
      <c r="R26" s="74"/>
      <c r="S26" s="74">
        <f t="shared" si="5"/>
        <v>12011.5</v>
      </c>
      <c r="T26" s="74"/>
      <c r="U26" s="76"/>
      <c r="V26" s="74">
        <f t="shared" si="7"/>
        <v>-12011.5</v>
      </c>
      <c r="W26" s="78">
        <f t="shared" si="8"/>
        <v>-12000</v>
      </c>
      <c r="X26" s="79"/>
      <c r="Y26" s="80"/>
      <c r="Z26" s="80"/>
    </row>
    <row r="27" spans="1:26" s="55" customFormat="1" ht="17.25" hidden="1" customHeight="1">
      <c r="A27" s="74">
        <v>11.3333333333333</v>
      </c>
      <c r="B27" s="81" t="s">
        <v>110</v>
      </c>
      <c r="C27" s="82" t="s">
        <v>111</v>
      </c>
      <c r="D27" s="82"/>
      <c r="E27" s="82"/>
      <c r="F27" s="82">
        <v>7900</v>
      </c>
      <c r="G27" s="82"/>
      <c r="H27" s="83"/>
      <c r="I27" s="82"/>
      <c r="J27" s="83">
        <v>213</v>
      </c>
      <c r="K27" s="82"/>
      <c r="L27" s="82"/>
      <c r="M27" s="83">
        <v>296.5</v>
      </c>
      <c r="N27" s="82"/>
      <c r="O27" s="82">
        <v>225</v>
      </c>
      <c r="P27" s="83">
        <v>100</v>
      </c>
      <c r="Q27" s="83">
        <f t="shared" si="4"/>
        <v>834.5</v>
      </c>
      <c r="R27" s="83"/>
      <c r="S27" s="83">
        <f t="shared" si="5"/>
        <v>8734.5</v>
      </c>
      <c r="T27" s="83">
        <v>11500</v>
      </c>
      <c r="U27" s="82">
        <v>9800</v>
      </c>
      <c r="V27" s="83">
        <f t="shared" si="7"/>
        <v>1065.5</v>
      </c>
      <c r="W27" s="84">
        <f t="shared" si="8"/>
        <v>3600</v>
      </c>
      <c r="X27" s="85"/>
      <c r="Y27" s="86"/>
      <c r="Z27" s="86"/>
    </row>
    <row r="28" spans="1:26" s="55" customFormat="1" ht="17.25" hidden="1" customHeight="1">
      <c r="A28" s="74">
        <v>11.8333333333333</v>
      </c>
      <c r="B28" s="81" t="s">
        <v>112</v>
      </c>
      <c r="C28" s="82" t="s">
        <v>77</v>
      </c>
      <c r="D28" s="82"/>
      <c r="E28" s="82" t="s">
        <v>113</v>
      </c>
      <c r="F28" s="82">
        <v>21400</v>
      </c>
      <c r="G28" s="82"/>
      <c r="H28" s="83"/>
      <c r="I28" s="82">
        <v>110</v>
      </c>
      <c r="J28" s="83">
        <v>184</v>
      </c>
      <c r="K28" s="82">
        <v>500</v>
      </c>
      <c r="L28" s="82"/>
      <c r="M28" s="83">
        <v>356</v>
      </c>
      <c r="N28" s="82"/>
      <c r="O28" s="82">
        <v>5</v>
      </c>
      <c r="P28" s="83">
        <v>100</v>
      </c>
      <c r="Q28" s="83">
        <f t="shared" si="4"/>
        <v>1255</v>
      </c>
      <c r="R28" s="83"/>
      <c r="S28" s="83">
        <f t="shared" si="5"/>
        <v>22655</v>
      </c>
      <c r="T28" s="83">
        <v>24300</v>
      </c>
      <c r="U28" s="82">
        <v>23355</v>
      </c>
      <c r="V28" s="83">
        <f t="shared" si="7"/>
        <v>700</v>
      </c>
      <c r="W28" s="84">
        <f t="shared" si="8"/>
        <v>2900</v>
      </c>
      <c r="X28" s="85"/>
      <c r="Y28" s="86"/>
      <c r="Z28" s="86"/>
    </row>
    <row r="29" spans="1:26" s="55" customFormat="1" ht="17.25" hidden="1" customHeight="1">
      <c r="A29" s="74">
        <v>12.3333333333333</v>
      </c>
      <c r="B29" s="81" t="s">
        <v>81</v>
      </c>
      <c r="C29" s="82" t="s">
        <v>77</v>
      </c>
      <c r="D29" s="82"/>
      <c r="E29" s="82"/>
      <c r="F29" s="82">
        <v>8500</v>
      </c>
      <c r="G29" s="82"/>
      <c r="H29" s="83"/>
      <c r="I29" s="82"/>
      <c r="J29" s="83">
        <v>218</v>
      </c>
      <c r="K29" s="82"/>
      <c r="L29" s="82"/>
      <c r="M29" s="83">
        <v>262</v>
      </c>
      <c r="N29" s="82"/>
      <c r="O29" s="82">
        <v>7</v>
      </c>
      <c r="P29" s="83">
        <v>100</v>
      </c>
      <c r="Q29" s="83">
        <f t="shared" si="4"/>
        <v>587</v>
      </c>
      <c r="R29" s="83"/>
      <c r="S29" s="83">
        <f t="shared" si="5"/>
        <v>9087</v>
      </c>
      <c r="T29" s="83">
        <v>11500</v>
      </c>
      <c r="U29" s="82">
        <v>10000</v>
      </c>
      <c r="V29" s="83">
        <f t="shared" si="7"/>
        <v>913</v>
      </c>
      <c r="W29" s="84">
        <f t="shared" si="8"/>
        <v>3000</v>
      </c>
      <c r="X29" s="85"/>
      <c r="Y29" s="86"/>
      <c r="Z29" s="86"/>
    </row>
    <row r="30" spans="1:26" s="54" customFormat="1" ht="17.25" customHeight="1">
      <c r="A30" s="74">
        <v>6</v>
      </c>
      <c r="B30" s="75" t="s">
        <v>81</v>
      </c>
      <c r="C30" s="76" t="s">
        <v>77</v>
      </c>
      <c r="D30" s="76"/>
      <c r="E30" s="76"/>
      <c r="F30" s="76">
        <v>8500</v>
      </c>
      <c r="G30" s="76"/>
      <c r="H30" s="74"/>
      <c r="I30" s="76"/>
      <c r="J30" s="74"/>
      <c r="K30" s="76"/>
      <c r="L30" s="76"/>
      <c r="M30" s="74"/>
      <c r="N30" s="76"/>
      <c r="O30" s="76">
        <v>16</v>
      </c>
      <c r="P30" s="77"/>
      <c r="Q30" s="74">
        <f t="shared" si="4"/>
        <v>16</v>
      </c>
      <c r="R30" s="74"/>
      <c r="S30" s="74">
        <f t="shared" si="5"/>
        <v>8516</v>
      </c>
      <c r="T30" s="74"/>
      <c r="U30" s="76"/>
      <c r="V30" s="74">
        <f t="shared" si="7"/>
        <v>-8516</v>
      </c>
      <c r="W30" s="78">
        <f t="shared" si="8"/>
        <v>-8500</v>
      </c>
      <c r="X30" s="79"/>
      <c r="Y30" s="80"/>
      <c r="Z30" s="80"/>
    </row>
    <row r="31" spans="1:26" s="55" customFormat="1" ht="17.25" hidden="1" customHeight="1">
      <c r="A31" s="74">
        <v>13.3333333333333</v>
      </c>
      <c r="B31" s="81" t="s">
        <v>114</v>
      </c>
      <c r="C31" s="82" t="s">
        <v>77</v>
      </c>
      <c r="D31" s="82"/>
      <c r="E31" s="82"/>
      <c r="F31" s="82">
        <v>9900</v>
      </c>
      <c r="G31" s="82">
        <v>25</v>
      </c>
      <c r="H31" s="83">
        <v>50</v>
      </c>
      <c r="I31" s="82">
        <v>80</v>
      </c>
      <c r="J31" s="83">
        <v>253</v>
      </c>
      <c r="K31" s="82"/>
      <c r="L31" s="82"/>
      <c r="M31" s="83">
        <v>287</v>
      </c>
      <c r="N31" s="82">
        <v>10</v>
      </c>
      <c r="O31" s="82">
        <v>60</v>
      </c>
      <c r="P31" s="83">
        <v>100</v>
      </c>
      <c r="Q31" s="83">
        <f t="shared" si="4"/>
        <v>865</v>
      </c>
      <c r="R31" s="83"/>
      <c r="S31" s="83">
        <f t="shared" si="5"/>
        <v>10765</v>
      </c>
      <c r="T31" s="83">
        <v>13500</v>
      </c>
      <c r="U31" s="82">
        <v>11900</v>
      </c>
      <c r="V31" s="83">
        <f t="shared" si="7"/>
        <v>1135</v>
      </c>
      <c r="W31" s="78">
        <f t="shared" si="8"/>
        <v>3600</v>
      </c>
      <c r="X31" s="85"/>
      <c r="Y31" s="86"/>
      <c r="Z31" s="86"/>
    </row>
    <row r="32" spans="1:26" s="55" customFormat="1" ht="17.25" hidden="1" customHeight="1">
      <c r="A32" s="74">
        <v>13.8333333333333</v>
      </c>
      <c r="B32" s="81" t="s">
        <v>115</v>
      </c>
      <c r="C32" s="82" t="s">
        <v>113</v>
      </c>
      <c r="D32" s="82" t="s">
        <v>116</v>
      </c>
      <c r="E32" s="82"/>
      <c r="F32" s="82">
        <v>8250</v>
      </c>
      <c r="G32" s="82"/>
      <c r="H32" s="83"/>
      <c r="I32" s="82"/>
      <c r="J32" s="83">
        <v>210</v>
      </c>
      <c r="K32" s="82"/>
      <c r="L32" s="82"/>
      <c r="M32" s="83">
        <v>220.8</v>
      </c>
      <c r="N32" s="82">
        <v>10</v>
      </c>
      <c r="O32" s="82">
        <v>200</v>
      </c>
      <c r="P32" s="83">
        <v>30</v>
      </c>
      <c r="Q32" s="83">
        <f t="shared" si="4"/>
        <v>670.8</v>
      </c>
      <c r="R32" s="83"/>
      <c r="S32" s="83">
        <f t="shared" si="5"/>
        <v>8920.7999999999993</v>
      </c>
      <c r="T32" s="83">
        <v>10400</v>
      </c>
      <c r="U32" s="82">
        <v>9800</v>
      </c>
      <c r="V32" s="83">
        <f t="shared" si="7"/>
        <v>879.20000000000073</v>
      </c>
      <c r="W32" s="78">
        <f t="shared" si="8"/>
        <v>2150</v>
      </c>
      <c r="X32" s="85"/>
      <c r="Y32" s="86"/>
      <c r="Z32" s="86"/>
    </row>
    <row r="33" spans="1:26" s="55" customFormat="1" ht="17.25" hidden="1" customHeight="1">
      <c r="A33" s="74">
        <v>14.3333333333333</v>
      </c>
      <c r="B33" s="81" t="s">
        <v>117</v>
      </c>
      <c r="C33" s="82" t="s">
        <v>113</v>
      </c>
      <c r="D33" s="82" t="s">
        <v>118</v>
      </c>
      <c r="E33" s="82"/>
      <c r="F33" s="82">
        <v>8250</v>
      </c>
      <c r="G33" s="82"/>
      <c r="H33" s="83"/>
      <c r="I33" s="82">
        <v>40</v>
      </c>
      <c r="J33" s="83">
        <v>209</v>
      </c>
      <c r="K33" s="82"/>
      <c r="L33" s="82"/>
      <c r="M33" s="83">
        <v>0</v>
      </c>
      <c r="N33" s="82">
        <v>10</v>
      </c>
      <c r="O33" s="82">
        <v>8</v>
      </c>
      <c r="P33" s="83">
        <v>100</v>
      </c>
      <c r="Q33" s="83">
        <f t="shared" si="4"/>
        <v>367</v>
      </c>
      <c r="R33" s="83"/>
      <c r="S33" s="83">
        <f t="shared" si="5"/>
        <v>8617</v>
      </c>
      <c r="T33" s="83">
        <v>9300</v>
      </c>
      <c r="U33" s="82">
        <v>9500</v>
      </c>
      <c r="V33" s="83">
        <f t="shared" si="7"/>
        <v>883</v>
      </c>
      <c r="W33" s="78">
        <f t="shared" si="8"/>
        <v>1050</v>
      </c>
      <c r="X33" s="85"/>
      <c r="Y33" s="86"/>
      <c r="Z33" s="86"/>
    </row>
    <row r="34" spans="1:26" s="55" customFormat="1" ht="17.25" hidden="1" customHeight="1">
      <c r="A34" s="74">
        <v>14.8333333333333</v>
      </c>
      <c r="B34" s="81" t="s">
        <v>119</v>
      </c>
      <c r="C34" s="82" t="s">
        <v>120</v>
      </c>
      <c r="D34" s="82" t="s">
        <v>121</v>
      </c>
      <c r="E34" s="82"/>
      <c r="F34" s="82">
        <v>14200</v>
      </c>
      <c r="G34" s="82"/>
      <c r="H34" s="83"/>
      <c r="I34" s="82">
        <v>100</v>
      </c>
      <c r="J34" s="83">
        <v>116</v>
      </c>
      <c r="K34" s="82">
        <v>92</v>
      </c>
      <c r="L34" s="82"/>
      <c r="M34" s="83">
        <v>69</v>
      </c>
      <c r="N34" s="82"/>
      <c r="O34" s="82">
        <v>5</v>
      </c>
      <c r="P34" s="83">
        <v>200</v>
      </c>
      <c r="Q34" s="83">
        <f t="shared" si="4"/>
        <v>582</v>
      </c>
      <c r="R34" s="83"/>
      <c r="S34" s="83">
        <f t="shared" si="5"/>
        <v>14782</v>
      </c>
      <c r="T34" s="83">
        <v>16900</v>
      </c>
      <c r="U34" s="82">
        <v>16000</v>
      </c>
      <c r="V34" s="83">
        <f t="shared" si="7"/>
        <v>1218</v>
      </c>
      <c r="W34" s="78">
        <f t="shared" si="8"/>
        <v>2700</v>
      </c>
      <c r="X34" s="85"/>
      <c r="Z34" s="86"/>
    </row>
    <row r="35" spans="1:26" s="56" customFormat="1" ht="18.75" hidden="1" customHeight="1">
      <c r="A35" s="74">
        <v>15.3333333333333</v>
      </c>
      <c r="B35" s="87" t="s">
        <v>122</v>
      </c>
      <c r="C35" s="88" t="s">
        <v>77</v>
      </c>
      <c r="D35" s="88"/>
      <c r="E35" s="88"/>
      <c r="F35" s="88">
        <v>13000</v>
      </c>
      <c r="G35" s="88"/>
      <c r="H35" s="89">
        <v>25</v>
      </c>
      <c r="I35" s="88">
        <v>90</v>
      </c>
      <c r="J35" s="89">
        <v>165</v>
      </c>
      <c r="K35" s="88">
        <v>400</v>
      </c>
      <c r="L35" s="88"/>
      <c r="M35" s="89">
        <v>45</v>
      </c>
      <c r="N35" s="88">
        <v>10</v>
      </c>
      <c r="O35" s="88">
        <v>65</v>
      </c>
      <c r="P35" s="89">
        <v>0</v>
      </c>
      <c r="Q35" s="89">
        <f t="shared" si="4"/>
        <v>800</v>
      </c>
      <c r="R35" s="89"/>
      <c r="S35" s="89">
        <f>Q35+F35</f>
        <v>13800</v>
      </c>
      <c r="T35" s="89">
        <v>14800</v>
      </c>
      <c r="U35" s="88">
        <v>14280</v>
      </c>
      <c r="V35" s="89">
        <f t="shared" si="7"/>
        <v>480</v>
      </c>
      <c r="W35" s="73">
        <f t="shared" si="8"/>
        <v>1800</v>
      </c>
      <c r="X35" s="90">
        <v>300</v>
      </c>
      <c r="Y35" s="91" t="s">
        <v>123</v>
      </c>
      <c r="Z35" s="91"/>
    </row>
    <row r="36" spans="1:26" s="56" customFormat="1" ht="17.25" hidden="1" customHeight="1">
      <c r="A36" s="74">
        <v>15.8333333333333</v>
      </c>
      <c r="B36" s="87" t="s">
        <v>124</v>
      </c>
      <c r="C36" s="88" t="s">
        <v>120</v>
      </c>
      <c r="D36" s="88"/>
      <c r="E36" s="88"/>
      <c r="F36" s="88">
        <v>13250</v>
      </c>
      <c r="G36" s="88"/>
      <c r="H36" s="89"/>
      <c r="I36" s="88">
        <v>90</v>
      </c>
      <c r="J36" s="89">
        <v>155</v>
      </c>
      <c r="K36" s="88">
        <v>400</v>
      </c>
      <c r="L36" s="88"/>
      <c r="M36" s="89">
        <v>48</v>
      </c>
      <c r="N36" s="88">
        <v>10</v>
      </c>
      <c r="O36" s="88"/>
      <c r="P36" s="89">
        <v>100</v>
      </c>
      <c r="Q36" s="89">
        <f t="shared" si="4"/>
        <v>803</v>
      </c>
      <c r="R36" s="89"/>
      <c r="S36" s="89">
        <f>Q36+F36</f>
        <v>14053</v>
      </c>
      <c r="T36" s="89">
        <v>14500</v>
      </c>
      <c r="U36" s="88">
        <v>14925</v>
      </c>
      <c r="V36" s="89">
        <f t="shared" si="7"/>
        <v>872</v>
      </c>
      <c r="W36" s="73">
        <f t="shared" si="8"/>
        <v>1250</v>
      </c>
      <c r="X36" s="90"/>
      <c r="Y36" s="91"/>
      <c r="Z36" s="91"/>
    </row>
    <row r="37" spans="1:26" s="55" customFormat="1" ht="17.25" customHeight="1">
      <c r="A37" s="83">
        <v>7</v>
      </c>
      <c r="B37" s="81" t="s">
        <v>125</v>
      </c>
      <c r="C37" s="82" t="s">
        <v>77</v>
      </c>
      <c r="D37" s="82"/>
      <c r="E37" s="82"/>
      <c r="F37" s="82">
        <v>10350</v>
      </c>
      <c r="G37" s="82">
        <v>70</v>
      </c>
      <c r="H37" s="83">
        <v>58</v>
      </c>
      <c r="I37" s="82">
        <v>110</v>
      </c>
      <c r="J37" s="83">
        <v>242</v>
      </c>
      <c r="K37" s="82">
        <v>400</v>
      </c>
      <c r="L37" s="82">
        <v>30</v>
      </c>
      <c r="M37" s="83">
        <v>314</v>
      </c>
      <c r="N37" s="82"/>
      <c r="O37" s="82"/>
      <c r="P37" s="83">
        <v>50</v>
      </c>
      <c r="Q37" s="83">
        <f t="shared" si="4"/>
        <v>1274</v>
      </c>
      <c r="R37" s="83"/>
      <c r="S37" s="83">
        <f>Q37+F37</f>
        <v>11624</v>
      </c>
      <c r="T37" s="83">
        <v>13000</v>
      </c>
      <c r="U37" s="82">
        <v>12070</v>
      </c>
      <c r="V37" s="83">
        <f t="shared" si="7"/>
        <v>446</v>
      </c>
      <c r="W37" s="84">
        <f t="shared" si="8"/>
        <v>2650</v>
      </c>
      <c r="X37" s="85"/>
      <c r="Y37" s="86"/>
      <c r="Z37" s="86"/>
    </row>
    <row r="38" spans="1:26" s="55" customFormat="1" ht="17.25" hidden="1" customHeight="1">
      <c r="A38" s="83">
        <v>10</v>
      </c>
      <c r="B38" s="81" t="s">
        <v>126</v>
      </c>
      <c r="C38" s="82" t="s">
        <v>120</v>
      </c>
      <c r="D38" s="82"/>
      <c r="E38" s="82"/>
      <c r="F38" s="82">
        <v>11700</v>
      </c>
      <c r="G38" s="82"/>
      <c r="H38" s="83">
        <v>45</v>
      </c>
      <c r="I38" s="82">
        <v>125</v>
      </c>
      <c r="J38" s="83">
        <v>194</v>
      </c>
      <c r="K38" s="82">
        <v>417</v>
      </c>
      <c r="L38" s="82">
        <v>3</v>
      </c>
      <c r="M38" s="83">
        <v>39</v>
      </c>
      <c r="N38" s="82">
        <v>10</v>
      </c>
      <c r="O38" s="82">
        <v>8</v>
      </c>
      <c r="P38" s="83">
        <v>100</v>
      </c>
      <c r="Q38" s="83">
        <f t="shared" ref="Q38:Q71" si="9">SUM(G38:P38)</f>
        <v>941</v>
      </c>
      <c r="R38" s="83"/>
      <c r="S38" s="83">
        <f t="shared" ref="S38:S84" si="10">Q38+F38</f>
        <v>12641</v>
      </c>
      <c r="T38" s="83">
        <v>13600</v>
      </c>
      <c r="U38" s="82">
        <v>13380</v>
      </c>
      <c r="V38" s="83">
        <f t="shared" ref="V38:V83" si="11">U38-S38</f>
        <v>739</v>
      </c>
      <c r="W38" s="84">
        <f t="shared" si="8"/>
        <v>1900</v>
      </c>
      <c r="X38" s="85"/>
      <c r="Y38" s="86"/>
      <c r="Z38" s="86"/>
    </row>
    <row r="39" spans="1:26" s="57" customFormat="1" ht="15">
      <c r="A39" s="99">
        <v>8</v>
      </c>
      <c r="B39" s="97" t="s">
        <v>127</v>
      </c>
      <c r="C39" s="98" t="s">
        <v>120</v>
      </c>
      <c r="D39" s="98"/>
      <c r="E39" s="98"/>
      <c r="F39" s="98">
        <v>13500</v>
      </c>
      <c r="G39" s="98"/>
      <c r="H39" s="99">
        <v>26</v>
      </c>
      <c r="I39" s="98"/>
      <c r="J39" s="99"/>
      <c r="K39" s="98"/>
      <c r="L39" s="98"/>
      <c r="M39" s="99"/>
      <c r="N39" s="98"/>
      <c r="O39" s="98">
        <v>9</v>
      </c>
      <c r="P39" s="99"/>
      <c r="Q39" s="99">
        <f t="shared" si="9"/>
        <v>35</v>
      </c>
      <c r="R39" s="99"/>
      <c r="S39" s="99">
        <f t="shared" si="10"/>
        <v>13535</v>
      </c>
      <c r="T39" s="99"/>
      <c r="U39" s="98"/>
      <c r="V39" s="99">
        <f t="shared" si="11"/>
        <v>-13535</v>
      </c>
      <c r="W39" s="100">
        <f t="shared" si="8"/>
        <v>-13500</v>
      </c>
      <c r="X39" s="101"/>
      <c r="Y39" s="102"/>
      <c r="Z39" s="102"/>
    </row>
    <row r="40" spans="1:26" s="57" customFormat="1" ht="17.25" hidden="1" customHeight="1">
      <c r="A40" s="74">
        <v>18.3333333333333</v>
      </c>
      <c r="B40" s="97" t="s">
        <v>128</v>
      </c>
      <c r="C40" s="98" t="s">
        <v>77</v>
      </c>
      <c r="D40" s="98"/>
      <c r="E40" s="98"/>
      <c r="F40" s="98">
        <v>23800</v>
      </c>
      <c r="G40" s="98"/>
      <c r="H40" s="99">
        <v>25</v>
      </c>
      <c r="I40" s="98"/>
      <c r="J40" s="99"/>
      <c r="K40" s="98"/>
      <c r="L40" s="98"/>
      <c r="M40" s="99"/>
      <c r="N40" s="98"/>
      <c r="O40" s="98"/>
      <c r="P40" s="99"/>
      <c r="Q40" s="99">
        <f t="shared" si="9"/>
        <v>25</v>
      </c>
      <c r="R40" s="99"/>
      <c r="S40" s="99">
        <f t="shared" si="10"/>
        <v>23825</v>
      </c>
      <c r="T40" s="99"/>
      <c r="U40" s="98"/>
      <c r="V40" s="99">
        <f t="shared" si="11"/>
        <v>-23825</v>
      </c>
      <c r="W40" s="100">
        <f t="shared" si="8"/>
        <v>-23800</v>
      </c>
      <c r="X40" s="101"/>
      <c r="Y40" s="102"/>
      <c r="Z40" s="102"/>
    </row>
    <row r="41" spans="1:26" s="58" customFormat="1" ht="17.25" hidden="1" customHeight="1">
      <c r="A41" s="74">
        <v>18.8333333333333</v>
      </c>
      <c r="B41" s="103" t="s">
        <v>129</v>
      </c>
      <c r="C41" s="104" t="s">
        <v>130</v>
      </c>
      <c r="D41" s="104"/>
      <c r="E41" s="104"/>
      <c r="F41" s="104">
        <v>8450</v>
      </c>
      <c r="G41" s="104"/>
      <c r="H41" s="105">
        <v>1.5</v>
      </c>
      <c r="I41" s="104"/>
      <c r="J41" s="105">
        <v>229.4</v>
      </c>
      <c r="K41" s="104"/>
      <c r="L41" s="104"/>
      <c r="M41" s="105">
        <v>257.60000000000002</v>
      </c>
      <c r="N41" s="104">
        <v>10</v>
      </c>
      <c r="O41" s="104">
        <v>63</v>
      </c>
      <c r="P41" s="105">
        <v>100</v>
      </c>
      <c r="Q41" s="105">
        <f t="shared" si="9"/>
        <v>661.5</v>
      </c>
      <c r="R41" s="105"/>
      <c r="S41" s="105">
        <f t="shared" si="10"/>
        <v>9111.5</v>
      </c>
      <c r="T41" s="105">
        <v>11500</v>
      </c>
      <c r="U41" s="104">
        <v>10275</v>
      </c>
      <c r="V41" s="105">
        <f t="shared" si="11"/>
        <v>1163.5</v>
      </c>
      <c r="W41" s="106">
        <f t="shared" si="8"/>
        <v>3050</v>
      </c>
      <c r="X41" s="107"/>
      <c r="Y41" s="108"/>
      <c r="Z41" s="108"/>
    </row>
    <row r="42" spans="1:26" s="54" customFormat="1" ht="17.25" customHeight="1">
      <c r="A42" s="74">
        <v>9</v>
      </c>
      <c r="B42" s="151" t="s">
        <v>131</v>
      </c>
      <c r="C42" s="76" t="s">
        <v>120</v>
      </c>
      <c r="D42" s="76"/>
      <c r="E42" s="76"/>
      <c r="F42" s="76">
        <v>7700</v>
      </c>
      <c r="G42" s="76"/>
      <c r="H42" s="74">
        <v>5</v>
      </c>
      <c r="I42" s="76"/>
      <c r="J42" s="74"/>
      <c r="K42" s="76"/>
      <c r="L42" s="76"/>
      <c r="M42" s="74"/>
      <c r="N42" s="76">
        <v>10</v>
      </c>
      <c r="O42" s="76">
        <v>5</v>
      </c>
      <c r="P42" s="74"/>
      <c r="Q42" s="74">
        <f t="shared" si="9"/>
        <v>20</v>
      </c>
      <c r="R42" s="74"/>
      <c r="S42" s="74">
        <f t="shared" si="10"/>
        <v>7720</v>
      </c>
      <c r="T42" s="74"/>
      <c r="U42" s="76"/>
      <c r="V42" s="74">
        <f t="shared" si="11"/>
        <v>-7720</v>
      </c>
      <c r="W42" s="78">
        <f t="shared" si="8"/>
        <v>-7700</v>
      </c>
      <c r="X42" s="79"/>
      <c r="Y42" s="80"/>
      <c r="Z42" s="80"/>
    </row>
    <row r="43" spans="1:26" s="56" customFormat="1" ht="15" hidden="1" customHeight="1">
      <c r="A43" s="74">
        <v>19.8333333333333</v>
      </c>
      <c r="B43" s="109" t="s">
        <v>132</v>
      </c>
      <c r="C43" s="88" t="s">
        <v>120</v>
      </c>
      <c r="D43" s="88"/>
      <c r="E43" s="88"/>
      <c r="F43" s="88">
        <v>13175</v>
      </c>
      <c r="G43" s="88"/>
      <c r="H43" s="89"/>
      <c r="I43" s="88"/>
      <c r="J43" s="89">
        <v>317</v>
      </c>
      <c r="K43" s="88">
        <v>300</v>
      </c>
      <c r="L43" s="88">
        <v>9</v>
      </c>
      <c r="M43" s="89">
        <v>163</v>
      </c>
      <c r="N43" s="88">
        <v>10</v>
      </c>
      <c r="O43" s="88">
        <v>18</v>
      </c>
      <c r="P43" s="89">
        <v>125</v>
      </c>
      <c r="Q43" s="74">
        <f t="shared" si="9"/>
        <v>942</v>
      </c>
      <c r="R43" s="89"/>
      <c r="S43" s="74">
        <f t="shared" si="10"/>
        <v>14117</v>
      </c>
      <c r="T43" s="89">
        <v>15000</v>
      </c>
      <c r="U43" s="88">
        <v>15300</v>
      </c>
      <c r="V43" s="74">
        <f t="shared" si="11"/>
        <v>1183</v>
      </c>
      <c r="W43" s="78">
        <f t="shared" si="8"/>
        <v>1825</v>
      </c>
      <c r="X43" s="90"/>
      <c r="Y43" s="91"/>
      <c r="Z43" s="91"/>
    </row>
    <row r="44" spans="1:26" s="56" customFormat="1" ht="17.25" hidden="1" customHeight="1">
      <c r="A44" s="74">
        <v>20.3333333333333</v>
      </c>
      <c r="B44" s="110" t="s">
        <v>133</v>
      </c>
      <c r="C44" s="88" t="s">
        <v>101</v>
      </c>
      <c r="D44" s="88"/>
      <c r="E44" s="88"/>
      <c r="F44" s="88">
        <v>8192</v>
      </c>
      <c r="G44" s="88"/>
      <c r="H44" s="89"/>
      <c r="I44" s="88"/>
      <c r="J44" s="89">
        <v>119</v>
      </c>
      <c r="K44" s="88"/>
      <c r="L44" s="88"/>
      <c r="M44" s="89"/>
      <c r="N44" s="88">
        <v>10</v>
      </c>
      <c r="O44" s="88"/>
      <c r="P44" s="89">
        <v>50</v>
      </c>
      <c r="Q44" s="74">
        <f t="shared" si="9"/>
        <v>179</v>
      </c>
      <c r="R44" s="89"/>
      <c r="S44" s="74">
        <f t="shared" si="10"/>
        <v>8371</v>
      </c>
      <c r="T44" s="89"/>
      <c r="U44" s="88">
        <v>8700</v>
      </c>
      <c r="V44" s="74">
        <f t="shared" si="11"/>
        <v>329</v>
      </c>
      <c r="W44" s="78">
        <f t="shared" si="8"/>
        <v>-8192</v>
      </c>
      <c r="X44" s="90"/>
      <c r="Y44" s="91"/>
      <c r="Z44" s="91"/>
    </row>
    <row r="45" spans="1:26" s="53" customFormat="1" ht="17.25" hidden="1" customHeight="1">
      <c r="A45" s="74">
        <v>20.8333333333333</v>
      </c>
      <c r="B45" s="111" t="s">
        <v>134</v>
      </c>
      <c r="C45" s="68" t="s">
        <v>101</v>
      </c>
      <c r="D45" s="68"/>
      <c r="E45" s="68"/>
      <c r="F45" s="68">
        <v>8450</v>
      </c>
      <c r="G45" s="68"/>
      <c r="H45" s="67">
        <v>30</v>
      </c>
      <c r="I45" s="68">
        <v>90</v>
      </c>
      <c r="J45" s="67">
        <v>253</v>
      </c>
      <c r="K45" s="68"/>
      <c r="L45" s="68"/>
      <c r="M45" s="67">
        <v>99</v>
      </c>
      <c r="N45" s="68"/>
      <c r="O45" s="68">
        <v>19</v>
      </c>
      <c r="P45" s="67">
        <v>100</v>
      </c>
      <c r="Q45" s="74">
        <f t="shared" si="9"/>
        <v>591</v>
      </c>
      <c r="R45" s="67"/>
      <c r="S45" s="74">
        <f t="shared" si="10"/>
        <v>9041</v>
      </c>
      <c r="T45" s="67">
        <v>10200</v>
      </c>
      <c r="U45" s="68">
        <v>9850</v>
      </c>
      <c r="V45" s="74">
        <f t="shared" si="11"/>
        <v>809</v>
      </c>
      <c r="W45" s="78">
        <f t="shared" si="8"/>
        <v>1750</v>
      </c>
      <c r="X45" s="71">
        <v>10200</v>
      </c>
      <c r="Y45" s="72"/>
      <c r="Z45" s="72"/>
    </row>
    <row r="46" spans="1:26" s="59" customFormat="1" ht="17.25" hidden="1" customHeight="1">
      <c r="A46" s="74">
        <v>21.3333333333333</v>
      </c>
      <c r="B46" s="112" t="s">
        <v>135</v>
      </c>
      <c r="C46" s="113" t="s">
        <v>101</v>
      </c>
      <c r="D46" s="113"/>
      <c r="E46" s="113"/>
      <c r="F46" s="113">
        <v>10100</v>
      </c>
      <c r="G46" s="113"/>
      <c r="H46" s="114"/>
      <c r="I46" s="113">
        <v>70</v>
      </c>
      <c r="J46" s="114">
        <v>210</v>
      </c>
      <c r="K46" s="113"/>
      <c r="L46" s="114">
        <v>60</v>
      </c>
      <c r="M46" s="114">
        <v>232.5</v>
      </c>
      <c r="N46" s="113">
        <v>10</v>
      </c>
      <c r="O46" s="113">
        <v>5</v>
      </c>
      <c r="P46" s="114">
        <v>25</v>
      </c>
      <c r="Q46" s="74">
        <f t="shared" si="9"/>
        <v>612.5</v>
      </c>
      <c r="R46" s="114"/>
      <c r="S46" s="74">
        <f t="shared" si="10"/>
        <v>10712.5</v>
      </c>
      <c r="T46" s="114">
        <v>12500</v>
      </c>
      <c r="U46" s="113">
        <v>11300</v>
      </c>
      <c r="V46" s="74">
        <f t="shared" si="11"/>
        <v>587.5</v>
      </c>
      <c r="W46" s="78">
        <f t="shared" si="8"/>
        <v>2400</v>
      </c>
      <c r="X46" s="115">
        <v>12500</v>
      </c>
      <c r="Y46" s="116"/>
      <c r="Z46" s="116"/>
    </row>
    <row r="47" spans="1:26" s="55" customFormat="1" ht="17.25" hidden="1" customHeight="1">
      <c r="A47" s="74">
        <v>21.8333333333333</v>
      </c>
      <c r="B47" s="117" t="s">
        <v>136</v>
      </c>
      <c r="C47" s="82" t="s">
        <v>137</v>
      </c>
      <c r="D47" s="82" t="s">
        <v>138</v>
      </c>
      <c r="E47" s="82"/>
      <c r="F47" s="82">
        <v>8250</v>
      </c>
      <c r="G47" s="82"/>
      <c r="H47" s="83"/>
      <c r="I47" s="82">
        <v>50</v>
      </c>
      <c r="J47" s="83">
        <v>198</v>
      </c>
      <c r="K47" s="82"/>
      <c r="L47" s="83"/>
      <c r="M47" s="83">
        <v>62</v>
      </c>
      <c r="N47" s="82">
        <v>10</v>
      </c>
      <c r="O47" s="82"/>
      <c r="P47" s="83">
        <v>150</v>
      </c>
      <c r="Q47" s="83">
        <f t="shared" si="9"/>
        <v>470</v>
      </c>
      <c r="R47" s="83"/>
      <c r="S47" s="83">
        <f t="shared" si="10"/>
        <v>8720</v>
      </c>
      <c r="T47" s="83">
        <v>9800</v>
      </c>
      <c r="U47" s="82">
        <v>9900</v>
      </c>
      <c r="V47" s="83">
        <f t="shared" si="11"/>
        <v>1180</v>
      </c>
      <c r="W47" s="84">
        <f t="shared" si="8"/>
        <v>1550</v>
      </c>
      <c r="X47" s="85"/>
      <c r="Y47" s="86"/>
      <c r="Z47" s="86"/>
    </row>
    <row r="48" spans="1:26" s="55" customFormat="1" ht="17.25" customHeight="1">
      <c r="A48" s="83">
        <v>10</v>
      </c>
      <c r="B48" s="159" t="s">
        <v>139</v>
      </c>
      <c r="C48" s="82" t="s">
        <v>137</v>
      </c>
      <c r="D48" s="82"/>
      <c r="E48" s="82"/>
      <c r="F48" s="82">
        <v>8300</v>
      </c>
      <c r="G48" s="82"/>
      <c r="H48" s="83">
        <v>2</v>
      </c>
      <c r="I48" s="82">
        <v>90</v>
      </c>
      <c r="J48" s="83">
        <v>260</v>
      </c>
      <c r="K48" s="82"/>
      <c r="L48" s="82"/>
      <c r="M48" s="83">
        <v>263.5</v>
      </c>
      <c r="N48" s="82">
        <v>0</v>
      </c>
      <c r="O48" s="160"/>
      <c r="P48" s="83">
        <v>160</v>
      </c>
      <c r="Q48" s="83">
        <f t="shared" si="9"/>
        <v>775.5</v>
      </c>
      <c r="R48" s="83"/>
      <c r="S48" s="83">
        <f t="shared" si="10"/>
        <v>9075.5</v>
      </c>
      <c r="T48" s="83">
        <v>11300</v>
      </c>
      <c r="U48" s="82">
        <v>10100</v>
      </c>
      <c r="V48" s="83">
        <f t="shared" si="11"/>
        <v>1024.5</v>
      </c>
      <c r="W48" s="84">
        <f t="shared" si="8"/>
        <v>3000</v>
      </c>
      <c r="X48" s="85"/>
      <c r="Y48" s="86"/>
      <c r="Z48" s="86"/>
    </row>
    <row r="49" spans="1:26" s="56" customFormat="1" ht="17.25" hidden="1" customHeight="1">
      <c r="A49" s="74">
        <v>22.8333333333333</v>
      </c>
      <c r="B49" s="110" t="s">
        <v>109</v>
      </c>
      <c r="C49" s="88" t="s">
        <v>140</v>
      </c>
      <c r="D49" s="88"/>
      <c r="E49" s="88"/>
      <c r="F49" s="88">
        <v>11900</v>
      </c>
      <c r="G49" s="88"/>
      <c r="H49" s="89"/>
      <c r="I49" s="88">
        <v>80</v>
      </c>
      <c r="J49" s="89">
        <v>188</v>
      </c>
      <c r="K49" s="88"/>
      <c r="L49" s="88"/>
      <c r="M49" s="89">
        <v>120</v>
      </c>
      <c r="N49" s="88"/>
      <c r="O49" s="88"/>
      <c r="P49" s="89">
        <v>100</v>
      </c>
      <c r="Q49" s="89">
        <f t="shared" si="9"/>
        <v>488</v>
      </c>
      <c r="R49" s="89"/>
      <c r="S49" s="89">
        <f t="shared" si="10"/>
        <v>12388</v>
      </c>
      <c r="T49" s="89">
        <v>15000</v>
      </c>
      <c r="U49" s="88">
        <v>13400</v>
      </c>
      <c r="V49" s="89">
        <f t="shared" si="11"/>
        <v>1012</v>
      </c>
      <c r="W49" s="73">
        <f t="shared" si="8"/>
        <v>3100</v>
      </c>
      <c r="X49" s="90"/>
      <c r="Y49" s="91"/>
      <c r="Z49" s="91"/>
    </row>
    <row r="50" spans="1:26" s="60" customFormat="1" ht="18" hidden="1" customHeight="1">
      <c r="A50" s="74">
        <v>23.3333333333333</v>
      </c>
      <c r="B50" s="118" t="s">
        <v>141</v>
      </c>
      <c r="C50" s="83" t="s">
        <v>77</v>
      </c>
      <c r="D50" s="83" t="s">
        <v>142</v>
      </c>
      <c r="E50" s="83"/>
      <c r="F50" s="83">
        <v>13150</v>
      </c>
      <c r="G50" s="83"/>
      <c r="H50" s="83">
        <v>3</v>
      </c>
      <c r="I50" s="83">
        <v>35</v>
      </c>
      <c r="J50" s="83">
        <v>252</v>
      </c>
      <c r="K50" s="83">
        <v>450</v>
      </c>
      <c r="L50" s="83"/>
      <c r="M50" s="83">
        <v>323</v>
      </c>
      <c r="N50" s="83">
        <v>10</v>
      </c>
      <c r="O50" s="83">
        <v>5</v>
      </c>
      <c r="P50" s="83">
        <v>50</v>
      </c>
      <c r="Q50" s="83">
        <f t="shared" si="9"/>
        <v>1128</v>
      </c>
      <c r="R50" s="83"/>
      <c r="S50" s="83">
        <f t="shared" si="10"/>
        <v>14278</v>
      </c>
      <c r="T50" s="83">
        <v>14500</v>
      </c>
      <c r="U50" s="83">
        <v>14600</v>
      </c>
      <c r="V50" s="83">
        <f t="shared" si="11"/>
        <v>322</v>
      </c>
      <c r="W50" s="84">
        <f t="shared" si="8"/>
        <v>1350</v>
      </c>
      <c r="X50" s="119"/>
      <c r="Y50" s="120"/>
      <c r="Z50" s="120"/>
    </row>
    <row r="51" spans="1:26" s="56" customFormat="1" ht="17.25" hidden="1" customHeight="1">
      <c r="A51" s="74">
        <v>23.8333333333333</v>
      </c>
      <c r="B51" s="110" t="s">
        <v>143</v>
      </c>
      <c r="C51" s="88" t="s">
        <v>77</v>
      </c>
      <c r="D51" s="88"/>
      <c r="E51" s="88"/>
      <c r="F51" s="88">
        <v>13400</v>
      </c>
      <c r="G51" s="88"/>
      <c r="H51" s="89"/>
      <c r="I51" s="88">
        <v>90</v>
      </c>
      <c r="J51" s="89">
        <v>245</v>
      </c>
      <c r="K51" s="88">
        <v>402</v>
      </c>
      <c r="L51" s="88"/>
      <c r="M51" s="89">
        <v>48</v>
      </c>
      <c r="N51" s="88"/>
      <c r="O51" s="88">
        <v>200</v>
      </c>
      <c r="P51" s="89">
        <v>30</v>
      </c>
      <c r="Q51" s="74">
        <f t="shared" si="9"/>
        <v>1015</v>
      </c>
      <c r="R51" s="89"/>
      <c r="S51" s="74">
        <f t="shared" si="10"/>
        <v>14415</v>
      </c>
      <c r="T51" s="89">
        <v>15600</v>
      </c>
      <c r="U51" s="88">
        <v>14760</v>
      </c>
      <c r="V51" s="74">
        <f t="shared" si="11"/>
        <v>345</v>
      </c>
      <c r="W51" s="73">
        <f t="shared" si="8"/>
        <v>2200</v>
      </c>
      <c r="X51" s="90"/>
      <c r="Y51" s="91"/>
      <c r="Z51" s="91"/>
    </row>
    <row r="52" spans="1:26" s="56" customFormat="1" ht="17.25" hidden="1" customHeight="1">
      <c r="A52" s="74">
        <v>24.3333333333333</v>
      </c>
      <c r="B52" s="110" t="s">
        <v>144</v>
      </c>
      <c r="C52" s="88" t="s">
        <v>145</v>
      </c>
      <c r="D52" s="88"/>
      <c r="E52" s="88"/>
      <c r="F52" s="88">
        <v>10000</v>
      </c>
      <c r="G52" s="88"/>
      <c r="H52" s="89">
        <v>20</v>
      </c>
      <c r="I52" s="88">
        <v>80</v>
      </c>
      <c r="J52" s="89">
        <v>163</v>
      </c>
      <c r="K52" s="88">
        <v>425</v>
      </c>
      <c r="L52" s="88"/>
      <c r="M52" s="89">
        <v>36</v>
      </c>
      <c r="N52" s="88"/>
      <c r="O52" s="88">
        <v>4</v>
      </c>
      <c r="P52" s="89">
        <v>100</v>
      </c>
      <c r="Q52" s="74">
        <f t="shared" si="9"/>
        <v>828</v>
      </c>
      <c r="R52" s="89"/>
      <c r="S52" s="74">
        <f t="shared" si="10"/>
        <v>10828</v>
      </c>
      <c r="T52" s="89">
        <v>11400</v>
      </c>
      <c r="U52" s="88">
        <v>11760</v>
      </c>
      <c r="V52" s="74">
        <f t="shared" si="11"/>
        <v>932</v>
      </c>
      <c r="W52" s="73">
        <f t="shared" si="8"/>
        <v>1400</v>
      </c>
      <c r="X52" s="90"/>
      <c r="Y52" s="91"/>
      <c r="Z52" s="91"/>
    </row>
    <row r="53" spans="1:26" s="53" customFormat="1" ht="17.25" hidden="1" customHeight="1">
      <c r="A53" s="74">
        <v>24.8333333333333</v>
      </c>
      <c r="B53" s="111" t="s">
        <v>146</v>
      </c>
      <c r="C53" s="68" t="s">
        <v>16</v>
      </c>
      <c r="D53" s="68"/>
      <c r="E53" s="68"/>
      <c r="F53" s="68">
        <v>10180</v>
      </c>
      <c r="G53" s="68"/>
      <c r="H53" s="67"/>
      <c r="I53" s="68">
        <v>50</v>
      </c>
      <c r="J53" s="67">
        <v>180</v>
      </c>
      <c r="K53" s="68"/>
      <c r="L53" s="68"/>
      <c r="M53" s="67">
        <v>69</v>
      </c>
      <c r="N53" s="68"/>
      <c r="O53" s="68">
        <v>18</v>
      </c>
      <c r="P53" s="67">
        <v>100</v>
      </c>
      <c r="Q53" s="67">
        <f t="shared" si="9"/>
        <v>417</v>
      </c>
      <c r="R53" s="67"/>
      <c r="S53" s="67">
        <f t="shared" si="10"/>
        <v>10597</v>
      </c>
      <c r="T53" s="67">
        <v>12000</v>
      </c>
      <c r="U53" s="68">
        <v>11200</v>
      </c>
      <c r="V53" s="67">
        <f t="shared" si="11"/>
        <v>603</v>
      </c>
      <c r="W53" s="93">
        <f t="shared" si="8"/>
        <v>1820</v>
      </c>
      <c r="X53" s="71"/>
      <c r="Y53" s="72"/>
      <c r="Z53" s="72"/>
    </row>
    <row r="54" spans="1:26" s="56" customFormat="1" ht="17.25" hidden="1" customHeight="1">
      <c r="A54" s="74">
        <v>25.3333333333333</v>
      </c>
      <c r="B54" s="110" t="s">
        <v>147</v>
      </c>
      <c r="C54" s="88" t="s">
        <v>16</v>
      </c>
      <c r="D54" s="88"/>
      <c r="E54" s="88"/>
      <c r="F54" s="88">
        <v>10255</v>
      </c>
      <c r="G54" s="88"/>
      <c r="H54" s="89"/>
      <c r="I54" s="88">
        <v>105</v>
      </c>
      <c r="J54" s="89">
        <v>188</v>
      </c>
      <c r="K54" s="88"/>
      <c r="L54" s="88"/>
      <c r="M54" s="89">
        <v>107</v>
      </c>
      <c r="N54" s="88"/>
      <c r="O54" s="88"/>
      <c r="P54" s="89">
        <v>100</v>
      </c>
      <c r="Q54" s="89">
        <f t="shared" si="9"/>
        <v>500</v>
      </c>
      <c r="R54" s="89"/>
      <c r="S54" s="89">
        <f t="shared" si="10"/>
        <v>10755</v>
      </c>
      <c r="T54" s="89">
        <v>13400</v>
      </c>
      <c r="U54" s="88">
        <v>11500</v>
      </c>
      <c r="V54" s="89">
        <f t="shared" si="11"/>
        <v>745</v>
      </c>
      <c r="W54" s="73">
        <v>845</v>
      </c>
      <c r="X54" s="90"/>
      <c r="Y54" s="91"/>
      <c r="Z54" s="91"/>
    </row>
    <row r="55" spans="1:26" s="56" customFormat="1" ht="17.25" hidden="1" customHeight="1">
      <c r="A55" s="74">
        <v>25.8333333333333</v>
      </c>
      <c r="B55" s="110" t="s">
        <v>148</v>
      </c>
      <c r="C55" s="88" t="s">
        <v>16</v>
      </c>
      <c r="D55" s="88"/>
      <c r="E55" s="88"/>
      <c r="F55" s="88">
        <v>12300</v>
      </c>
      <c r="G55" s="88"/>
      <c r="H55" s="89"/>
      <c r="I55" s="88">
        <v>120</v>
      </c>
      <c r="J55" s="89">
        <v>118</v>
      </c>
      <c r="K55" s="88"/>
      <c r="L55" s="88"/>
      <c r="M55" s="89">
        <v>77</v>
      </c>
      <c r="N55" s="88"/>
      <c r="O55" s="88"/>
      <c r="P55" s="89"/>
      <c r="Q55" s="89">
        <f t="shared" si="9"/>
        <v>315</v>
      </c>
      <c r="R55" s="89"/>
      <c r="S55" s="89">
        <f t="shared" si="10"/>
        <v>12615</v>
      </c>
      <c r="T55" s="89">
        <v>15300</v>
      </c>
      <c r="U55" s="88">
        <v>13300</v>
      </c>
      <c r="V55" s="89">
        <f t="shared" si="11"/>
        <v>685</v>
      </c>
      <c r="W55" s="73">
        <f t="shared" ref="W55:W63" si="12">T:T-F:F</f>
        <v>3000</v>
      </c>
      <c r="X55" s="90"/>
      <c r="Y55" s="91"/>
      <c r="Z55" s="91"/>
    </row>
    <row r="56" spans="1:26" s="53" customFormat="1" ht="17.25" hidden="1" customHeight="1">
      <c r="A56" s="74">
        <v>26.3333333333333</v>
      </c>
      <c r="B56" s="111" t="s">
        <v>149</v>
      </c>
      <c r="C56" s="68" t="s">
        <v>120</v>
      </c>
      <c r="D56" s="68"/>
      <c r="E56" s="68"/>
      <c r="F56" s="68">
        <v>9500</v>
      </c>
      <c r="G56" s="68"/>
      <c r="H56" s="67"/>
      <c r="I56" s="68">
        <v>70</v>
      </c>
      <c r="J56" s="67">
        <v>214</v>
      </c>
      <c r="K56" s="68">
        <v>400</v>
      </c>
      <c r="L56" s="68"/>
      <c r="M56" s="67">
        <v>36</v>
      </c>
      <c r="N56" s="68"/>
      <c r="O56" s="68">
        <v>6</v>
      </c>
      <c r="P56" s="67">
        <v>100</v>
      </c>
      <c r="Q56" s="67">
        <f t="shared" si="9"/>
        <v>826</v>
      </c>
      <c r="R56" s="67"/>
      <c r="S56" s="67">
        <f t="shared" si="10"/>
        <v>10326</v>
      </c>
      <c r="T56" s="67">
        <v>12000</v>
      </c>
      <c r="U56" s="68">
        <v>11700</v>
      </c>
      <c r="V56" s="67">
        <f t="shared" si="11"/>
        <v>1374</v>
      </c>
      <c r="W56" s="93">
        <f t="shared" si="12"/>
        <v>2500</v>
      </c>
      <c r="X56" s="71"/>
      <c r="Y56" s="72"/>
      <c r="Z56" s="72"/>
    </row>
    <row r="57" spans="1:26" s="57" customFormat="1" ht="17.25" hidden="1" customHeight="1">
      <c r="A57" s="74">
        <v>26.8333333333333</v>
      </c>
      <c r="B57" s="121" t="s">
        <v>150</v>
      </c>
      <c r="C57" s="98" t="s">
        <v>120</v>
      </c>
      <c r="D57" s="98"/>
      <c r="E57" s="98"/>
      <c r="F57" s="98">
        <v>10800</v>
      </c>
      <c r="G57" s="98"/>
      <c r="H57" s="99"/>
      <c r="I57" s="98"/>
      <c r="J57" s="99"/>
      <c r="K57" s="98"/>
      <c r="L57" s="98"/>
      <c r="M57" s="99"/>
      <c r="N57" s="98"/>
      <c r="O57" s="98">
        <v>3</v>
      </c>
      <c r="P57" s="99"/>
      <c r="Q57" s="99">
        <f t="shared" si="9"/>
        <v>3</v>
      </c>
      <c r="R57" s="99"/>
      <c r="S57" s="99">
        <f t="shared" si="10"/>
        <v>10803</v>
      </c>
      <c r="T57" s="99"/>
      <c r="U57" s="98"/>
      <c r="V57" s="99">
        <f t="shared" si="11"/>
        <v>-10803</v>
      </c>
      <c r="W57" s="100">
        <f t="shared" si="12"/>
        <v>-10800</v>
      </c>
      <c r="X57" s="101"/>
      <c r="Y57" s="102"/>
      <c r="Z57" s="102"/>
    </row>
    <row r="58" spans="1:26" s="53" customFormat="1" ht="17.25" hidden="1" customHeight="1">
      <c r="A58" s="74">
        <v>27.3333333333333</v>
      </c>
      <c r="B58" s="37" t="s">
        <v>151</v>
      </c>
      <c r="C58" s="68" t="s">
        <v>77</v>
      </c>
      <c r="D58" s="68"/>
      <c r="E58" s="68"/>
      <c r="F58" s="68">
        <v>8800</v>
      </c>
      <c r="G58" s="68"/>
      <c r="H58" s="67">
        <v>3</v>
      </c>
      <c r="I58" s="68">
        <v>80</v>
      </c>
      <c r="J58" s="67">
        <v>230</v>
      </c>
      <c r="K58" s="68"/>
      <c r="L58" s="68">
        <v>4</v>
      </c>
      <c r="M58" s="67">
        <v>270</v>
      </c>
      <c r="N58" s="68">
        <v>10</v>
      </c>
      <c r="O58" s="68">
        <v>75</v>
      </c>
      <c r="P58" s="67">
        <v>100</v>
      </c>
      <c r="Q58" s="67">
        <f t="shared" si="9"/>
        <v>772</v>
      </c>
      <c r="R58" s="67"/>
      <c r="S58" s="67">
        <f t="shared" si="10"/>
        <v>9572</v>
      </c>
      <c r="T58" s="67">
        <v>12500</v>
      </c>
      <c r="U58" s="68">
        <v>10500</v>
      </c>
      <c r="V58" s="67">
        <f t="shared" si="11"/>
        <v>928</v>
      </c>
      <c r="W58" s="93">
        <f t="shared" si="12"/>
        <v>3700</v>
      </c>
      <c r="X58" s="71"/>
      <c r="Y58" s="72"/>
      <c r="Z58" s="72"/>
    </row>
    <row r="59" spans="1:26" s="56" customFormat="1" ht="17.25" hidden="1" customHeight="1">
      <c r="A59" s="74">
        <v>27.8333333333333</v>
      </c>
      <c r="B59" s="87" t="s">
        <v>152</v>
      </c>
      <c r="C59" s="88" t="s">
        <v>153</v>
      </c>
      <c r="D59" s="88"/>
      <c r="E59" s="88"/>
      <c r="F59" s="88">
        <v>13250</v>
      </c>
      <c r="G59" s="88"/>
      <c r="H59" s="89"/>
      <c r="I59" s="88">
        <v>25</v>
      </c>
      <c r="J59" s="89">
        <v>284</v>
      </c>
      <c r="K59" s="88"/>
      <c r="L59" s="88"/>
      <c r="M59" s="89">
        <v>60</v>
      </c>
      <c r="N59" s="88"/>
      <c r="O59" s="88">
        <v>13</v>
      </c>
      <c r="P59" s="89">
        <v>100</v>
      </c>
      <c r="Q59" s="89">
        <f t="shared" si="9"/>
        <v>482</v>
      </c>
      <c r="R59" s="89"/>
      <c r="S59" s="89">
        <f t="shared" si="10"/>
        <v>13732</v>
      </c>
      <c r="T59" s="89"/>
      <c r="U59" s="88">
        <v>14050</v>
      </c>
      <c r="V59" s="89">
        <f t="shared" si="11"/>
        <v>318</v>
      </c>
      <c r="W59" s="78">
        <f t="shared" si="12"/>
        <v>-13250</v>
      </c>
      <c r="X59" s="90"/>
      <c r="Y59" s="91"/>
      <c r="Z59" s="91"/>
    </row>
    <row r="60" spans="1:26" s="55" customFormat="1" ht="17.25" hidden="1" customHeight="1">
      <c r="A60" s="83">
        <v>14</v>
      </c>
      <c r="B60" s="81" t="s">
        <v>154</v>
      </c>
      <c r="C60" s="82" t="s">
        <v>120</v>
      </c>
      <c r="D60" s="82"/>
      <c r="E60" s="82"/>
      <c r="F60" s="82">
        <v>18000</v>
      </c>
      <c r="G60" s="82"/>
      <c r="H60" s="83">
        <v>17.5</v>
      </c>
      <c r="I60" s="82">
        <v>100</v>
      </c>
      <c r="J60" s="83">
        <v>313</v>
      </c>
      <c r="K60" s="82">
        <v>480</v>
      </c>
      <c r="L60" s="82">
        <v>5</v>
      </c>
      <c r="M60" s="83"/>
      <c r="N60" s="82"/>
      <c r="O60" s="82">
        <v>76</v>
      </c>
      <c r="P60" s="83">
        <v>150</v>
      </c>
      <c r="Q60" s="83">
        <f t="shared" si="9"/>
        <v>1141.5</v>
      </c>
      <c r="R60" s="83"/>
      <c r="S60" s="83">
        <f t="shared" si="10"/>
        <v>19141.5</v>
      </c>
      <c r="T60" s="83">
        <v>20200</v>
      </c>
      <c r="U60" s="82">
        <v>20245</v>
      </c>
      <c r="V60" s="83">
        <f t="shared" si="11"/>
        <v>1103.5</v>
      </c>
      <c r="W60" s="84">
        <f t="shared" si="12"/>
        <v>2200</v>
      </c>
      <c r="X60" s="85"/>
      <c r="Y60" s="86"/>
      <c r="Z60" s="86"/>
    </row>
    <row r="61" spans="1:26" s="55" customFormat="1" ht="17.25" hidden="1" customHeight="1">
      <c r="A61" s="83">
        <v>15</v>
      </c>
      <c r="B61" s="81" t="s">
        <v>155</v>
      </c>
      <c r="C61" s="82" t="s">
        <v>120</v>
      </c>
      <c r="D61" s="82"/>
      <c r="E61" s="82"/>
      <c r="F61" s="82">
        <v>16500</v>
      </c>
      <c r="G61" s="82"/>
      <c r="H61" s="83"/>
      <c r="I61" s="82">
        <v>90</v>
      </c>
      <c r="J61" s="83">
        <v>327</v>
      </c>
      <c r="K61" s="82">
        <v>450</v>
      </c>
      <c r="L61" s="82"/>
      <c r="M61" s="83">
        <v>336</v>
      </c>
      <c r="N61" s="82">
        <v>50</v>
      </c>
      <c r="O61" s="82">
        <v>206</v>
      </c>
      <c r="P61" s="83">
        <v>110</v>
      </c>
      <c r="Q61" s="83">
        <f t="shared" si="9"/>
        <v>1569</v>
      </c>
      <c r="R61" s="83"/>
      <c r="S61" s="83">
        <f t="shared" si="10"/>
        <v>18069</v>
      </c>
      <c r="T61" s="83">
        <v>18500</v>
      </c>
      <c r="U61" s="82">
        <v>18650</v>
      </c>
      <c r="V61" s="83">
        <f t="shared" si="11"/>
        <v>581</v>
      </c>
      <c r="W61" s="84">
        <f t="shared" si="12"/>
        <v>2000</v>
      </c>
      <c r="X61" s="85"/>
      <c r="Y61" s="86"/>
      <c r="Z61" s="86"/>
    </row>
    <row r="62" spans="1:26" s="55" customFormat="1" ht="15" hidden="1">
      <c r="A62" s="74">
        <v>29.3333333333333</v>
      </c>
      <c r="B62" s="81" t="s">
        <v>156</v>
      </c>
      <c r="C62" s="82" t="s">
        <v>120</v>
      </c>
      <c r="D62" s="82" t="s">
        <v>157</v>
      </c>
      <c r="E62" s="82"/>
      <c r="F62" s="82">
        <v>8800</v>
      </c>
      <c r="G62" s="82">
        <v>10</v>
      </c>
      <c r="H62" s="83">
        <v>5</v>
      </c>
      <c r="I62" s="82">
        <v>160</v>
      </c>
      <c r="J62" s="83">
        <v>250</v>
      </c>
      <c r="K62" s="82"/>
      <c r="L62" s="82">
        <v>3</v>
      </c>
      <c r="M62" s="83"/>
      <c r="N62" s="82">
        <v>265</v>
      </c>
      <c r="O62" s="82">
        <v>6</v>
      </c>
      <c r="P62" s="83">
        <v>100</v>
      </c>
      <c r="Q62" s="83">
        <f t="shared" si="9"/>
        <v>799</v>
      </c>
      <c r="R62" s="83"/>
      <c r="S62" s="83">
        <f t="shared" si="10"/>
        <v>9599</v>
      </c>
      <c r="T62" s="83">
        <v>11500</v>
      </c>
      <c r="U62" s="82">
        <v>10300</v>
      </c>
      <c r="V62" s="83">
        <f t="shared" si="11"/>
        <v>701</v>
      </c>
      <c r="W62" s="84">
        <f t="shared" si="12"/>
        <v>2700</v>
      </c>
      <c r="X62" s="85"/>
      <c r="Y62" s="86"/>
      <c r="Z62" s="86"/>
    </row>
    <row r="63" spans="1:26" s="54" customFormat="1" ht="17.25" customHeight="1">
      <c r="A63" s="74">
        <v>11</v>
      </c>
      <c r="B63" s="75" t="s">
        <v>158</v>
      </c>
      <c r="C63" s="76" t="s">
        <v>120</v>
      </c>
      <c r="D63" s="76"/>
      <c r="E63" s="76"/>
      <c r="F63" s="76">
        <v>15000</v>
      </c>
      <c r="G63" s="76"/>
      <c r="H63" s="74">
        <v>10</v>
      </c>
      <c r="I63" s="76"/>
      <c r="J63" s="74"/>
      <c r="K63" s="76"/>
      <c r="L63" s="76"/>
      <c r="M63" s="74"/>
      <c r="N63" s="76"/>
      <c r="O63" s="76">
        <v>9</v>
      </c>
      <c r="P63" s="74"/>
      <c r="Q63" s="74">
        <f t="shared" si="9"/>
        <v>19</v>
      </c>
      <c r="R63" s="74"/>
      <c r="S63" s="74">
        <f t="shared" si="10"/>
        <v>15019</v>
      </c>
      <c r="T63" s="74"/>
      <c r="U63" s="76"/>
      <c r="V63" s="74">
        <f t="shared" si="11"/>
        <v>-15019</v>
      </c>
      <c r="W63" s="78">
        <f t="shared" si="12"/>
        <v>-15000</v>
      </c>
      <c r="X63" s="79"/>
      <c r="Y63" s="80"/>
      <c r="Z63" s="80"/>
    </row>
    <row r="64" spans="1:26" s="53" customFormat="1" ht="17.25" hidden="1" customHeight="1">
      <c r="A64" s="74">
        <v>30.3333333333333</v>
      </c>
      <c r="B64" s="37" t="s">
        <v>109</v>
      </c>
      <c r="C64" s="68" t="s">
        <v>159</v>
      </c>
      <c r="D64" s="68"/>
      <c r="E64" s="68"/>
      <c r="F64" s="68">
        <v>11650</v>
      </c>
      <c r="G64" s="68"/>
      <c r="H64" s="67"/>
      <c r="I64" s="68">
        <v>80</v>
      </c>
      <c r="J64" s="67">
        <v>165</v>
      </c>
      <c r="K64" s="68"/>
      <c r="L64" s="68">
        <v>5</v>
      </c>
      <c r="M64" s="67">
        <v>315</v>
      </c>
      <c r="N64" s="68"/>
      <c r="O64" s="68">
        <v>3</v>
      </c>
      <c r="P64" s="67">
        <v>100</v>
      </c>
      <c r="Q64" s="67">
        <f t="shared" si="9"/>
        <v>668</v>
      </c>
      <c r="R64" s="67"/>
      <c r="S64" s="67">
        <f t="shared" si="10"/>
        <v>12318</v>
      </c>
      <c r="T64" s="67">
        <v>14200</v>
      </c>
      <c r="U64" s="68">
        <v>13250</v>
      </c>
      <c r="V64" s="67">
        <f t="shared" si="11"/>
        <v>932</v>
      </c>
      <c r="W64" s="93"/>
      <c r="X64" s="71"/>
      <c r="Y64" s="72"/>
      <c r="Z64" s="72"/>
    </row>
    <row r="65" spans="1:26" s="54" customFormat="1" ht="17.25" customHeight="1">
      <c r="A65" s="74">
        <v>12</v>
      </c>
      <c r="B65" s="75" t="s">
        <v>160</v>
      </c>
      <c r="C65" s="76" t="s">
        <v>120</v>
      </c>
      <c r="D65" s="76"/>
      <c r="E65" s="76"/>
      <c r="F65" s="76">
        <v>15500</v>
      </c>
      <c r="G65" s="76">
        <v>10</v>
      </c>
      <c r="H65" s="74">
        <v>60</v>
      </c>
      <c r="I65" s="76"/>
      <c r="J65" s="74"/>
      <c r="K65" s="76"/>
      <c r="L65" s="76"/>
      <c r="M65" s="74"/>
      <c r="N65" s="76"/>
      <c r="O65" s="76">
        <v>9</v>
      </c>
      <c r="P65" s="74"/>
      <c r="Q65" s="74">
        <f t="shared" si="9"/>
        <v>79</v>
      </c>
      <c r="R65" s="74"/>
      <c r="S65" s="74">
        <f t="shared" si="10"/>
        <v>15579</v>
      </c>
      <c r="T65" s="74"/>
      <c r="U65" s="76"/>
      <c r="V65" s="74">
        <f t="shared" si="11"/>
        <v>-15579</v>
      </c>
      <c r="W65" s="78">
        <f t="shared" ref="W65:W80" si="13">T:T-F:F</f>
        <v>-15500</v>
      </c>
      <c r="X65" s="79"/>
      <c r="Y65" s="80"/>
      <c r="Z65" s="80"/>
    </row>
    <row r="66" spans="1:26" s="53" customFormat="1" ht="17.25" hidden="1" customHeight="1">
      <c r="A66" s="74">
        <v>31.3333333333333</v>
      </c>
      <c r="B66" s="37" t="s">
        <v>161</v>
      </c>
      <c r="C66" s="68" t="s">
        <v>162</v>
      </c>
      <c r="D66" s="68"/>
      <c r="E66" s="68"/>
      <c r="F66" s="68">
        <v>9750</v>
      </c>
      <c r="G66" s="68"/>
      <c r="H66" s="67"/>
      <c r="I66" s="68">
        <v>50</v>
      </c>
      <c r="J66" s="67">
        <v>310</v>
      </c>
      <c r="K66" s="68"/>
      <c r="L66" s="68"/>
      <c r="M66" s="67">
        <v>71</v>
      </c>
      <c r="N66" s="68"/>
      <c r="O66" s="68"/>
      <c r="P66" s="67">
        <v>150</v>
      </c>
      <c r="Q66" s="74">
        <f t="shared" si="9"/>
        <v>581</v>
      </c>
      <c r="R66" s="67"/>
      <c r="S66" s="74">
        <f t="shared" si="10"/>
        <v>10331</v>
      </c>
      <c r="T66" s="67">
        <v>12500</v>
      </c>
      <c r="U66" s="68">
        <v>11800</v>
      </c>
      <c r="V66" s="74">
        <f t="shared" si="11"/>
        <v>1469</v>
      </c>
      <c r="W66" s="78">
        <f t="shared" si="13"/>
        <v>2750</v>
      </c>
      <c r="X66" s="71"/>
      <c r="Y66" s="72"/>
      <c r="Z66" s="72"/>
    </row>
    <row r="67" spans="1:26" s="53" customFormat="1" ht="17.25" hidden="1" customHeight="1">
      <c r="A67" s="74">
        <v>31.8333333333333</v>
      </c>
      <c r="B67" s="37" t="s">
        <v>163</v>
      </c>
      <c r="C67" s="68" t="s">
        <v>164</v>
      </c>
      <c r="D67" s="68"/>
      <c r="E67" s="68"/>
      <c r="F67" s="68">
        <v>11000</v>
      </c>
      <c r="G67" s="68"/>
      <c r="H67" s="67"/>
      <c r="I67" s="68">
        <v>85</v>
      </c>
      <c r="J67" s="67">
        <v>265</v>
      </c>
      <c r="K67" s="68"/>
      <c r="L67" s="68"/>
      <c r="M67" s="67">
        <v>71</v>
      </c>
      <c r="N67" s="68"/>
      <c r="O67" s="68"/>
      <c r="P67" s="67">
        <v>75</v>
      </c>
      <c r="Q67" s="74">
        <f t="shared" si="9"/>
        <v>496</v>
      </c>
      <c r="R67" s="67"/>
      <c r="S67" s="74">
        <f t="shared" si="10"/>
        <v>11496</v>
      </c>
      <c r="T67" s="67">
        <v>12500</v>
      </c>
      <c r="U67" s="68">
        <v>12000</v>
      </c>
      <c r="V67" s="74">
        <f t="shared" si="11"/>
        <v>504</v>
      </c>
      <c r="W67" s="78">
        <f t="shared" si="13"/>
        <v>1500</v>
      </c>
      <c r="X67" s="71"/>
      <c r="Y67" s="72"/>
      <c r="Z67" s="72"/>
    </row>
    <row r="68" spans="1:26" s="53" customFormat="1" ht="17.25" hidden="1" customHeight="1">
      <c r="A68" s="74">
        <v>32.3333333333333</v>
      </c>
      <c r="B68" s="37" t="s">
        <v>165</v>
      </c>
      <c r="C68" s="68" t="s">
        <v>120</v>
      </c>
      <c r="D68" s="68"/>
      <c r="E68" s="68"/>
      <c r="F68" s="68">
        <v>9500</v>
      </c>
      <c r="G68" s="68"/>
      <c r="H68" s="67">
        <v>55</v>
      </c>
      <c r="I68" s="68">
        <v>80</v>
      </c>
      <c r="J68" s="67"/>
      <c r="K68" s="68">
        <v>258</v>
      </c>
      <c r="L68" s="68"/>
      <c r="M68" s="67">
        <v>293</v>
      </c>
      <c r="N68" s="68"/>
      <c r="O68" s="68">
        <v>23</v>
      </c>
      <c r="P68" s="67">
        <v>100</v>
      </c>
      <c r="Q68" s="74">
        <f t="shared" si="9"/>
        <v>809</v>
      </c>
      <c r="R68" s="67"/>
      <c r="S68" s="74">
        <f t="shared" si="10"/>
        <v>10309</v>
      </c>
      <c r="T68" s="67">
        <v>12200</v>
      </c>
      <c r="U68" s="68">
        <v>11190</v>
      </c>
      <c r="V68" s="74">
        <f t="shared" si="11"/>
        <v>881</v>
      </c>
      <c r="W68" s="78">
        <f t="shared" si="13"/>
        <v>2700</v>
      </c>
      <c r="X68" s="71"/>
      <c r="Y68" s="72"/>
      <c r="Z68" s="72"/>
    </row>
    <row r="69" spans="1:26" s="56" customFormat="1" ht="17.25" hidden="1" customHeight="1">
      <c r="A69" s="74">
        <v>32.8333333333333</v>
      </c>
      <c r="B69" s="87" t="s">
        <v>166</v>
      </c>
      <c r="C69" s="88" t="s">
        <v>167</v>
      </c>
      <c r="D69" s="88"/>
      <c r="E69" s="88"/>
      <c r="F69" s="88">
        <v>10300</v>
      </c>
      <c r="G69" s="88"/>
      <c r="H69" s="89">
        <v>10</v>
      </c>
      <c r="I69" s="88">
        <v>75</v>
      </c>
      <c r="J69" s="89">
        <v>257</v>
      </c>
      <c r="K69" s="88"/>
      <c r="L69" s="88"/>
      <c r="M69" s="89">
        <v>74</v>
      </c>
      <c r="N69" s="88"/>
      <c r="O69" s="88">
        <v>40</v>
      </c>
      <c r="P69" s="89">
        <v>100</v>
      </c>
      <c r="Q69" s="89">
        <f t="shared" si="9"/>
        <v>556</v>
      </c>
      <c r="R69" s="89"/>
      <c r="S69" s="89">
        <f t="shared" si="10"/>
        <v>10856</v>
      </c>
      <c r="T69" s="89"/>
      <c r="U69" s="88">
        <v>11625</v>
      </c>
      <c r="V69" s="89">
        <f t="shared" si="11"/>
        <v>769</v>
      </c>
      <c r="W69" s="78">
        <f t="shared" si="13"/>
        <v>-10300</v>
      </c>
      <c r="X69" s="90"/>
      <c r="Y69" s="91"/>
      <c r="Z69" s="91"/>
    </row>
    <row r="70" spans="1:26" s="55" customFormat="1" ht="17.25" hidden="1" customHeight="1">
      <c r="A70" s="74">
        <v>33.3333333333333</v>
      </c>
      <c r="B70" s="81" t="s">
        <v>168</v>
      </c>
      <c r="C70" s="82" t="s">
        <v>120</v>
      </c>
      <c r="D70" s="82" t="s">
        <v>169</v>
      </c>
      <c r="E70" s="82"/>
      <c r="F70" s="82">
        <v>12800</v>
      </c>
      <c r="G70" s="82"/>
      <c r="H70" s="83">
        <v>21</v>
      </c>
      <c r="I70" s="82">
        <v>70</v>
      </c>
      <c r="J70" s="83">
        <v>238</v>
      </c>
      <c r="K70" s="82">
        <v>450</v>
      </c>
      <c r="L70" s="82">
        <v>5</v>
      </c>
      <c r="M70" s="83">
        <v>300</v>
      </c>
      <c r="N70" s="82"/>
      <c r="O70" s="82">
        <v>30</v>
      </c>
      <c r="P70" s="83">
        <v>100</v>
      </c>
      <c r="Q70" s="83">
        <f t="shared" si="9"/>
        <v>1214</v>
      </c>
      <c r="R70" s="83"/>
      <c r="S70" s="83">
        <f t="shared" si="10"/>
        <v>14014</v>
      </c>
      <c r="T70" s="83">
        <v>14500</v>
      </c>
      <c r="U70" s="82">
        <v>14850</v>
      </c>
      <c r="V70" s="83">
        <f t="shared" si="11"/>
        <v>836</v>
      </c>
      <c r="W70" s="84">
        <f t="shared" si="13"/>
        <v>1700</v>
      </c>
      <c r="X70" s="85"/>
      <c r="Y70" s="86"/>
      <c r="Z70" s="86"/>
    </row>
    <row r="71" spans="1:26" s="55" customFormat="1" ht="17.25" hidden="1" customHeight="1">
      <c r="A71" s="74">
        <v>33.8333333333333</v>
      </c>
      <c r="B71" s="81" t="s">
        <v>168</v>
      </c>
      <c r="C71" s="82" t="s">
        <v>120</v>
      </c>
      <c r="D71" s="82" t="s">
        <v>170</v>
      </c>
      <c r="E71" s="82"/>
      <c r="F71" s="82">
        <v>12800</v>
      </c>
      <c r="G71" s="82"/>
      <c r="H71" s="83"/>
      <c r="I71" s="82">
        <v>70</v>
      </c>
      <c r="J71" s="83">
        <v>277</v>
      </c>
      <c r="K71" s="82">
        <v>500</v>
      </c>
      <c r="L71" s="82"/>
      <c r="M71" s="83">
        <v>326</v>
      </c>
      <c r="N71" s="82"/>
      <c r="O71" s="82">
        <v>8</v>
      </c>
      <c r="P71" s="83">
        <v>100</v>
      </c>
      <c r="Q71" s="83">
        <f t="shared" si="9"/>
        <v>1281</v>
      </c>
      <c r="R71" s="83"/>
      <c r="S71" s="83">
        <f t="shared" si="10"/>
        <v>14081</v>
      </c>
      <c r="T71" s="83">
        <v>14500</v>
      </c>
      <c r="U71" s="82">
        <v>14750</v>
      </c>
      <c r="V71" s="83">
        <f t="shared" si="11"/>
        <v>669</v>
      </c>
      <c r="W71" s="84">
        <f t="shared" si="13"/>
        <v>1700</v>
      </c>
      <c r="X71" s="85"/>
      <c r="Y71" s="86"/>
      <c r="Z71" s="86"/>
    </row>
    <row r="72" spans="1:26" s="55" customFormat="1" ht="17.25" hidden="1" customHeight="1">
      <c r="A72" s="74">
        <v>34.3333333333333</v>
      </c>
      <c r="B72" s="81" t="s">
        <v>171</v>
      </c>
      <c r="C72" s="82" t="s">
        <v>159</v>
      </c>
      <c r="D72" s="82" t="s">
        <v>172</v>
      </c>
      <c r="E72" s="82"/>
      <c r="F72" s="82">
        <v>10500</v>
      </c>
      <c r="G72" s="82"/>
      <c r="H72" s="83"/>
      <c r="I72" s="82">
        <v>50</v>
      </c>
      <c r="J72" s="83">
        <v>237</v>
      </c>
      <c r="K72" s="82"/>
      <c r="L72" s="82"/>
      <c r="M72" s="83">
        <v>71</v>
      </c>
      <c r="N72" s="82"/>
      <c r="O72" s="82">
        <v>39</v>
      </c>
      <c r="P72" s="83">
        <v>100</v>
      </c>
      <c r="Q72" s="83">
        <f>SUM(G72:P72)</f>
        <v>497</v>
      </c>
      <c r="R72" s="83"/>
      <c r="S72" s="83">
        <f t="shared" si="10"/>
        <v>10997</v>
      </c>
      <c r="T72" s="83"/>
      <c r="U72" s="82">
        <v>11650</v>
      </c>
      <c r="V72" s="83">
        <f t="shared" si="11"/>
        <v>653</v>
      </c>
      <c r="W72" s="84">
        <f t="shared" si="13"/>
        <v>-10500</v>
      </c>
      <c r="X72" s="85"/>
      <c r="Y72" s="86"/>
      <c r="Z72" s="86"/>
    </row>
    <row r="73" spans="1:26" s="57" customFormat="1" ht="17.25" customHeight="1">
      <c r="A73" s="99">
        <v>13</v>
      </c>
      <c r="B73" s="97" t="s">
        <v>173</v>
      </c>
      <c r="C73" s="98" t="s">
        <v>120</v>
      </c>
      <c r="D73" s="98"/>
      <c r="E73" s="98"/>
      <c r="F73" s="98">
        <v>9500</v>
      </c>
      <c r="G73" s="98"/>
      <c r="H73" s="99">
        <v>2</v>
      </c>
      <c r="I73" s="98"/>
      <c r="J73" s="99"/>
      <c r="K73" s="98"/>
      <c r="L73" s="98"/>
      <c r="M73" s="99"/>
      <c r="N73" s="98"/>
      <c r="O73" s="98">
        <v>5</v>
      </c>
      <c r="P73" s="99"/>
      <c r="Q73" s="99">
        <f t="shared" ref="Q73:Q97" si="14">SUM(G73:P73)</f>
        <v>7</v>
      </c>
      <c r="R73" s="99"/>
      <c r="S73" s="99">
        <f t="shared" si="10"/>
        <v>9507</v>
      </c>
      <c r="T73" s="99"/>
      <c r="U73" s="98"/>
      <c r="V73" s="99">
        <f t="shared" si="11"/>
        <v>-9507</v>
      </c>
      <c r="W73" s="100">
        <f t="shared" si="13"/>
        <v>-9500</v>
      </c>
      <c r="X73" s="101"/>
      <c r="Y73" s="102"/>
      <c r="Z73" s="102"/>
    </row>
    <row r="74" spans="1:26" s="55" customFormat="1" ht="17.25" hidden="1" customHeight="1">
      <c r="A74" s="74">
        <v>35.3333333333333</v>
      </c>
      <c r="B74" s="81" t="s">
        <v>174</v>
      </c>
      <c r="C74" s="82" t="s">
        <v>167</v>
      </c>
      <c r="D74" s="82" t="s">
        <v>175</v>
      </c>
      <c r="E74" s="82"/>
      <c r="F74" s="82">
        <v>9500</v>
      </c>
      <c r="G74" s="82">
        <v>15</v>
      </c>
      <c r="H74" s="83">
        <v>207.5</v>
      </c>
      <c r="I74" s="82">
        <v>80</v>
      </c>
      <c r="J74" s="83">
        <v>129</v>
      </c>
      <c r="K74" s="82"/>
      <c r="L74" s="82">
        <v>220</v>
      </c>
      <c r="M74" s="83">
        <v>117</v>
      </c>
      <c r="N74" s="82"/>
      <c r="O74" s="82">
        <v>100</v>
      </c>
      <c r="P74" s="83">
        <v>200</v>
      </c>
      <c r="Q74" s="74">
        <f t="shared" si="14"/>
        <v>1068.5</v>
      </c>
      <c r="R74" s="83"/>
      <c r="S74" s="74">
        <f t="shared" si="10"/>
        <v>10568.5</v>
      </c>
      <c r="T74" s="83">
        <v>13400</v>
      </c>
      <c r="U74" s="82">
        <v>12050</v>
      </c>
      <c r="V74" s="74">
        <f t="shared" si="11"/>
        <v>1481.5</v>
      </c>
      <c r="W74" s="84">
        <f t="shared" si="13"/>
        <v>3900</v>
      </c>
      <c r="X74" s="85" t="s">
        <v>176</v>
      </c>
      <c r="Y74" s="86"/>
      <c r="Z74" s="86"/>
    </row>
    <row r="75" spans="1:26" s="55" customFormat="1" ht="17.25" hidden="1" customHeight="1">
      <c r="A75" s="74">
        <v>35.8333333333333</v>
      </c>
      <c r="B75" s="81" t="s">
        <v>177</v>
      </c>
      <c r="C75" s="82" t="s">
        <v>159</v>
      </c>
      <c r="D75" s="82" t="s">
        <v>178</v>
      </c>
      <c r="E75" s="82" t="s">
        <v>179</v>
      </c>
      <c r="F75" s="82">
        <v>11450</v>
      </c>
      <c r="G75" s="82"/>
      <c r="H75" s="83"/>
      <c r="I75" s="82">
        <v>70</v>
      </c>
      <c r="J75" s="83">
        <v>146</v>
      </c>
      <c r="K75" s="82">
        <v>402</v>
      </c>
      <c r="L75" s="82"/>
      <c r="M75" s="83">
        <v>42</v>
      </c>
      <c r="N75" s="82"/>
      <c r="O75" s="82">
        <v>36</v>
      </c>
      <c r="P75" s="83">
        <v>100</v>
      </c>
      <c r="Q75" s="74">
        <f t="shared" si="14"/>
        <v>796</v>
      </c>
      <c r="R75" s="83"/>
      <c r="S75" s="74">
        <f t="shared" si="10"/>
        <v>12246</v>
      </c>
      <c r="T75" s="83">
        <v>13800</v>
      </c>
      <c r="U75" s="82">
        <v>13130</v>
      </c>
      <c r="V75" s="74">
        <f t="shared" si="11"/>
        <v>884</v>
      </c>
      <c r="W75" s="84">
        <f t="shared" si="13"/>
        <v>2350</v>
      </c>
      <c r="X75" s="85"/>
      <c r="Y75" s="86"/>
      <c r="Z75" s="86"/>
    </row>
    <row r="76" spans="1:26" s="55" customFormat="1" ht="17.25" hidden="1" customHeight="1">
      <c r="A76" s="74">
        <v>36.3333333333333</v>
      </c>
      <c r="B76" s="81" t="s">
        <v>180</v>
      </c>
      <c r="C76" s="82" t="s">
        <v>87</v>
      </c>
      <c r="D76" s="82" t="s">
        <v>181</v>
      </c>
      <c r="E76" s="82"/>
      <c r="F76" s="82">
        <v>9700</v>
      </c>
      <c r="G76" s="82"/>
      <c r="H76" s="83"/>
      <c r="I76" s="82">
        <v>125</v>
      </c>
      <c r="J76" s="83">
        <v>149</v>
      </c>
      <c r="K76" s="82">
        <v>400</v>
      </c>
      <c r="L76" s="82"/>
      <c r="M76" s="83">
        <v>30</v>
      </c>
      <c r="N76" s="82"/>
      <c r="O76" s="82">
        <v>67.5</v>
      </c>
      <c r="P76" s="83">
        <v>50</v>
      </c>
      <c r="Q76" s="74">
        <f t="shared" si="14"/>
        <v>821.5</v>
      </c>
      <c r="R76" s="83"/>
      <c r="S76" s="74">
        <f t="shared" si="10"/>
        <v>10521.5</v>
      </c>
      <c r="T76" s="83">
        <v>11000</v>
      </c>
      <c r="U76" s="82">
        <v>10735</v>
      </c>
      <c r="V76" s="74">
        <f t="shared" si="11"/>
        <v>213.5</v>
      </c>
      <c r="W76" s="84">
        <f t="shared" si="13"/>
        <v>1300</v>
      </c>
      <c r="X76" s="85"/>
      <c r="Y76" s="86"/>
      <c r="Z76" s="86"/>
    </row>
    <row r="77" spans="1:26" s="55" customFormat="1" ht="17.25" hidden="1" customHeight="1">
      <c r="A77" s="74">
        <v>36.8333333333333</v>
      </c>
      <c r="B77" s="81" t="s">
        <v>182</v>
      </c>
      <c r="C77" s="82" t="s">
        <v>120</v>
      </c>
      <c r="D77" s="82" t="s">
        <v>183</v>
      </c>
      <c r="E77" s="82"/>
      <c r="F77" s="82">
        <v>9800</v>
      </c>
      <c r="G77" s="82"/>
      <c r="H77" s="83"/>
      <c r="I77" s="82">
        <v>115</v>
      </c>
      <c r="J77" s="83">
        <v>154</v>
      </c>
      <c r="K77" s="82">
        <v>400</v>
      </c>
      <c r="L77" s="82">
        <v>6.5</v>
      </c>
      <c r="M77" s="83">
        <v>33</v>
      </c>
      <c r="N77" s="82"/>
      <c r="O77" s="82">
        <v>137.5</v>
      </c>
      <c r="P77" s="83">
        <v>100</v>
      </c>
      <c r="Q77" s="74">
        <f t="shared" si="14"/>
        <v>946</v>
      </c>
      <c r="R77" s="83"/>
      <c r="S77" s="74">
        <f t="shared" si="10"/>
        <v>10746</v>
      </c>
      <c r="T77" s="83">
        <v>11500</v>
      </c>
      <c r="U77" s="82">
        <v>11775</v>
      </c>
      <c r="V77" s="74">
        <f t="shared" si="11"/>
        <v>1029</v>
      </c>
      <c r="W77" s="84">
        <f t="shared" si="13"/>
        <v>1700</v>
      </c>
      <c r="X77" s="85"/>
      <c r="Y77" s="86"/>
      <c r="Z77" s="86"/>
    </row>
    <row r="78" spans="1:26" s="55" customFormat="1" ht="17.25" hidden="1" customHeight="1">
      <c r="A78" s="74">
        <v>37.3333333333333</v>
      </c>
      <c r="B78" s="81" t="s">
        <v>184</v>
      </c>
      <c r="C78" s="82" t="s">
        <v>167</v>
      </c>
      <c r="D78" s="82" t="s">
        <v>185</v>
      </c>
      <c r="E78" s="82"/>
      <c r="F78" s="82">
        <v>10700</v>
      </c>
      <c r="G78" s="82"/>
      <c r="H78" s="83"/>
      <c r="I78" s="82">
        <v>105</v>
      </c>
      <c r="J78" s="83">
        <v>246</v>
      </c>
      <c r="K78" s="82"/>
      <c r="L78" s="82"/>
      <c r="M78" s="83">
        <v>77</v>
      </c>
      <c r="N78" s="82"/>
      <c r="O78" s="82">
        <v>60</v>
      </c>
      <c r="P78" s="83">
        <v>100</v>
      </c>
      <c r="Q78" s="74">
        <f t="shared" si="14"/>
        <v>588</v>
      </c>
      <c r="R78" s="83"/>
      <c r="S78" s="74">
        <f t="shared" si="10"/>
        <v>11288</v>
      </c>
      <c r="T78" s="83">
        <v>12500</v>
      </c>
      <c r="U78" s="82">
        <v>11900</v>
      </c>
      <c r="V78" s="74">
        <f t="shared" si="11"/>
        <v>612</v>
      </c>
      <c r="W78" s="84">
        <f t="shared" si="13"/>
        <v>1800</v>
      </c>
      <c r="X78" s="85" t="s">
        <v>186</v>
      </c>
      <c r="Y78" s="86">
        <v>12500</v>
      </c>
      <c r="Z78" s="86"/>
    </row>
    <row r="79" spans="1:26" s="55" customFormat="1" ht="17.25" hidden="1" customHeight="1">
      <c r="A79" s="74">
        <v>37.8333333333333</v>
      </c>
      <c r="B79" s="81" t="s">
        <v>187</v>
      </c>
      <c r="C79" s="82" t="s">
        <v>120</v>
      </c>
      <c r="D79" s="82" t="s">
        <v>188</v>
      </c>
      <c r="E79" s="82"/>
      <c r="F79" s="82">
        <v>8500</v>
      </c>
      <c r="G79" s="82">
        <v>92.5</v>
      </c>
      <c r="H79" s="83">
        <v>87.5</v>
      </c>
      <c r="I79" s="82">
        <v>70</v>
      </c>
      <c r="J79" s="83">
        <v>199</v>
      </c>
      <c r="K79" s="82">
        <v>300</v>
      </c>
      <c r="L79" s="82">
        <v>400</v>
      </c>
      <c r="M79" s="83">
        <v>33</v>
      </c>
      <c r="N79" s="82">
        <v>63</v>
      </c>
      <c r="O79" s="82"/>
      <c r="P79" s="83">
        <v>100</v>
      </c>
      <c r="Q79" s="74">
        <f t="shared" si="14"/>
        <v>1345</v>
      </c>
      <c r="R79" s="83"/>
      <c r="S79" s="74">
        <f t="shared" si="10"/>
        <v>9845</v>
      </c>
      <c r="T79" s="83">
        <v>11000</v>
      </c>
      <c r="U79" s="82">
        <v>10850</v>
      </c>
      <c r="V79" s="74">
        <f t="shared" si="11"/>
        <v>1005</v>
      </c>
      <c r="W79" s="84">
        <f t="shared" si="13"/>
        <v>2500</v>
      </c>
      <c r="X79" s="85"/>
      <c r="Y79" s="86"/>
      <c r="Z79" s="86"/>
    </row>
    <row r="80" spans="1:26" s="55" customFormat="1" ht="17.25" hidden="1" customHeight="1">
      <c r="A80" s="83">
        <v>19</v>
      </c>
      <c r="B80" s="81" t="s">
        <v>189</v>
      </c>
      <c r="C80" s="82" t="s">
        <v>120</v>
      </c>
      <c r="D80" s="82"/>
      <c r="E80" s="82"/>
      <c r="F80" s="82">
        <v>12750</v>
      </c>
      <c r="G80" s="82"/>
      <c r="H80" s="83">
        <v>20</v>
      </c>
      <c r="I80" s="82">
        <v>165</v>
      </c>
      <c r="J80" s="83">
        <v>305</v>
      </c>
      <c r="K80" s="82">
        <v>467</v>
      </c>
      <c r="L80" s="82">
        <v>10.25</v>
      </c>
      <c r="M80" s="83">
        <v>325</v>
      </c>
      <c r="N80" s="82"/>
      <c r="O80" s="82">
        <v>25</v>
      </c>
      <c r="P80" s="83">
        <v>65</v>
      </c>
      <c r="Q80" s="83">
        <f t="shared" si="14"/>
        <v>1382.25</v>
      </c>
      <c r="R80" s="83"/>
      <c r="S80" s="83">
        <f t="shared" si="10"/>
        <v>14132.25</v>
      </c>
      <c r="T80" s="83">
        <v>14500</v>
      </c>
      <c r="U80" s="82">
        <v>14525</v>
      </c>
      <c r="V80" s="83">
        <f t="shared" si="11"/>
        <v>392.75</v>
      </c>
      <c r="W80" s="84">
        <f t="shared" si="13"/>
        <v>1750</v>
      </c>
      <c r="X80" s="85"/>
      <c r="Y80" s="86"/>
      <c r="Z80" s="86"/>
    </row>
    <row r="81" spans="1:26" s="56" customFormat="1" ht="17.25" hidden="1" customHeight="1">
      <c r="A81" s="89">
        <v>20</v>
      </c>
      <c r="B81" s="87" t="s">
        <v>190</v>
      </c>
      <c r="C81" s="88" t="s">
        <v>16</v>
      </c>
      <c r="D81" s="88"/>
      <c r="E81" s="88"/>
      <c r="F81" s="88">
        <v>11000</v>
      </c>
      <c r="G81" s="88"/>
      <c r="H81" s="89">
        <v>30</v>
      </c>
      <c r="I81" s="88">
        <v>85</v>
      </c>
      <c r="J81" s="89">
        <v>105</v>
      </c>
      <c r="K81" s="88">
        <v>430</v>
      </c>
      <c r="L81" s="88"/>
      <c r="M81" s="89">
        <v>39</v>
      </c>
      <c r="N81" s="88"/>
      <c r="O81" s="88">
        <v>55</v>
      </c>
      <c r="P81" s="89">
        <v>150</v>
      </c>
      <c r="Q81" s="89">
        <f t="shared" si="14"/>
        <v>894</v>
      </c>
      <c r="R81" s="89"/>
      <c r="S81" s="89">
        <f t="shared" si="10"/>
        <v>11894</v>
      </c>
      <c r="T81" s="89">
        <v>13800</v>
      </c>
      <c r="U81" s="88">
        <v>13320</v>
      </c>
      <c r="V81" s="89">
        <f t="shared" si="11"/>
        <v>1426</v>
      </c>
      <c r="W81" s="73" t="s">
        <v>191</v>
      </c>
      <c r="X81" s="90"/>
      <c r="Y81" s="91"/>
      <c r="Z81" s="91"/>
    </row>
    <row r="82" spans="1:26" s="61" customFormat="1" ht="17.25" customHeight="1">
      <c r="A82" s="74">
        <v>14</v>
      </c>
      <c r="B82" s="122" t="s">
        <v>192</v>
      </c>
      <c r="C82" s="74" t="s">
        <v>87</v>
      </c>
      <c r="D82" s="74"/>
      <c r="E82" s="74"/>
      <c r="F82" s="74">
        <v>9700</v>
      </c>
      <c r="G82" s="74"/>
      <c r="H82" s="74"/>
      <c r="I82" s="74"/>
      <c r="J82" s="74"/>
      <c r="K82" s="74"/>
      <c r="L82" s="74"/>
      <c r="M82" s="74"/>
      <c r="N82" s="74"/>
      <c r="O82" s="74">
        <v>7.5</v>
      </c>
      <c r="P82" s="74"/>
      <c r="Q82" s="74">
        <f t="shared" si="14"/>
        <v>7.5</v>
      </c>
      <c r="R82" s="74"/>
      <c r="S82" s="74">
        <f t="shared" si="10"/>
        <v>9707.5</v>
      </c>
      <c r="T82" s="74"/>
      <c r="U82" s="74"/>
      <c r="V82" s="74">
        <f t="shared" si="11"/>
        <v>-9707.5</v>
      </c>
      <c r="W82" s="78">
        <f t="shared" ref="W82:W102" si="15">T:T-F:F</f>
        <v>-9700</v>
      </c>
      <c r="X82" s="123"/>
      <c r="Y82" s="124"/>
      <c r="Z82" s="124"/>
    </row>
    <row r="83" spans="1:26" s="55" customFormat="1" ht="17.25" hidden="1" customHeight="1">
      <c r="A83" s="74">
        <v>38.8333333333333</v>
      </c>
      <c r="B83" s="81" t="s">
        <v>193</v>
      </c>
      <c r="C83" s="82" t="s">
        <v>120</v>
      </c>
      <c r="D83" s="82" t="s">
        <v>194</v>
      </c>
      <c r="E83" s="82"/>
      <c r="F83" s="82">
        <v>12750</v>
      </c>
      <c r="G83" s="82">
        <v>60</v>
      </c>
      <c r="H83" s="82">
        <v>20</v>
      </c>
      <c r="I83" s="82">
        <v>80</v>
      </c>
      <c r="J83" s="83">
        <v>260</v>
      </c>
      <c r="K83" s="82">
        <v>400</v>
      </c>
      <c r="L83" s="82">
        <v>4</v>
      </c>
      <c r="M83" s="83"/>
      <c r="N83" s="82">
        <v>42</v>
      </c>
      <c r="O83" s="82">
        <v>5</v>
      </c>
      <c r="P83" s="83">
        <v>100</v>
      </c>
      <c r="Q83" s="83">
        <f t="shared" si="14"/>
        <v>971</v>
      </c>
      <c r="R83" s="83"/>
      <c r="S83" s="83">
        <f t="shared" si="10"/>
        <v>13721</v>
      </c>
      <c r="T83" s="83">
        <v>14500</v>
      </c>
      <c r="U83" s="82">
        <v>14650</v>
      </c>
      <c r="V83" s="83">
        <f t="shared" si="11"/>
        <v>929</v>
      </c>
      <c r="W83" s="84">
        <f t="shared" si="15"/>
        <v>1750</v>
      </c>
      <c r="X83" s="85"/>
      <c r="Y83" s="86"/>
      <c r="Z83" s="86"/>
    </row>
    <row r="84" spans="1:26" s="55" customFormat="1" ht="17.25" hidden="1" customHeight="1">
      <c r="A84" s="74">
        <v>39.3333333333333</v>
      </c>
      <c r="B84" s="81" t="s">
        <v>195</v>
      </c>
      <c r="C84" s="82" t="s">
        <v>120</v>
      </c>
      <c r="D84" s="82" t="s">
        <v>196</v>
      </c>
      <c r="E84" s="82"/>
      <c r="F84" s="82">
        <v>9150</v>
      </c>
      <c r="G84" s="82"/>
      <c r="H84" s="83">
        <v>4.5</v>
      </c>
      <c r="I84" s="82">
        <v>80</v>
      </c>
      <c r="J84" s="83">
        <v>241</v>
      </c>
      <c r="K84" s="82"/>
      <c r="L84" s="82"/>
      <c r="M84" s="83">
        <v>264</v>
      </c>
      <c r="N84" s="82"/>
      <c r="O84" s="82">
        <v>17.5</v>
      </c>
      <c r="P84" s="83">
        <v>100</v>
      </c>
      <c r="Q84" s="83">
        <f t="shared" si="14"/>
        <v>707</v>
      </c>
      <c r="R84" s="83"/>
      <c r="S84" s="83">
        <f t="shared" si="10"/>
        <v>9857</v>
      </c>
      <c r="T84" s="83">
        <v>12000</v>
      </c>
      <c r="U84" s="82">
        <v>10500</v>
      </c>
      <c r="V84" s="83">
        <f t="shared" ref="V84:V106" si="16">U84-S84</f>
        <v>643</v>
      </c>
      <c r="W84" s="84">
        <f t="shared" si="15"/>
        <v>2850</v>
      </c>
      <c r="X84" s="85"/>
      <c r="Y84" s="86"/>
      <c r="Z84" s="86"/>
    </row>
    <row r="85" spans="1:26" s="55" customFormat="1" ht="17.25" hidden="1" customHeight="1">
      <c r="A85" s="74">
        <v>39.8333333333333</v>
      </c>
      <c r="B85" s="81" t="s">
        <v>197</v>
      </c>
      <c r="C85" s="82" t="s">
        <v>120</v>
      </c>
      <c r="D85" s="82"/>
      <c r="E85" s="82" t="s">
        <v>198</v>
      </c>
      <c r="F85" s="82">
        <v>13900</v>
      </c>
      <c r="G85" s="82"/>
      <c r="H85" s="83">
        <v>3</v>
      </c>
      <c r="I85" s="82">
        <v>35</v>
      </c>
      <c r="J85" s="83">
        <v>319</v>
      </c>
      <c r="K85" s="82">
        <v>302</v>
      </c>
      <c r="L85" s="82"/>
      <c r="M85" s="83">
        <v>300</v>
      </c>
      <c r="N85" s="82"/>
      <c r="O85" s="82">
        <v>15</v>
      </c>
      <c r="P85" s="83">
        <v>50</v>
      </c>
      <c r="Q85" s="74">
        <f t="shared" si="14"/>
        <v>1024</v>
      </c>
      <c r="R85" s="83"/>
      <c r="S85" s="74">
        <f t="shared" ref="S85:S106" si="17">Q85+F85</f>
        <v>14924</v>
      </c>
      <c r="T85" s="83">
        <v>15000</v>
      </c>
      <c r="U85" s="82">
        <v>15400</v>
      </c>
      <c r="V85" s="74">
        <f t="shared" si="16"/>
        <v>476</v>
      </c>
      <c r="W85" s="96">
        <f t="shared" si="15"/>
        <v>1100</v>
      </c>
      <c r="X85" s="85"/>
      <c r="Y85" s="86"/>
      <c r="Z85" s="86"/>
    </row>
    <row r="86" spans="1:26" s="54" customFormat="1" ht="17.25" customHeight="1">
      <c r="A86" s="74">
        <v>15</v>
      </c>
      <c r="B86" s="75" t="s">
        <v>199</v>
      </c>
      <c r="C86" s="76" t="s">
        <v>120</v>
      </c>
      <c r="D86" s="76"/>
      <c r="E86" s="76"/>
      <c r="F86" s="76">
        <v>17800</v>
      </c>
      <c r="G86" s="76"/>
      <c r="H86" s="74">
        <v>12.5</v>
      </c>
      <c r="I86" s="76"/>
      <c r="J86" s="74"/>
      <c r="K86" s="76"/>
      <c r="L86" s="76"/>
      <c r="M86" s="74"/>
      <c r="N86" s="76"/>
      <c r="O86" s="76">
        <v>5</v>
      </c>
      <c r="P86" s="74"/>
      <c r="Q86" s="74">
        <f t="shared" si="14"/>
        <v>17.5</v>
      </c>
      <c r="R86" s="74"/>
      <c r="S86" s="74">
        <f t="shared" si="17"/>
        <v>17817.5</v>
      </c>
      <c r="T86" s="74"/>
      <c r="U86" s="76"/>
      <c r="V86" s="74">
        <f t="shared" si="16"/>
        <v>-17817.5</v>
      </c>
      <c r="W86" s="96">
        <f t="shared" si="15"/>
        <v>-17800</v>
      </c>
      <c r="X86" s="79"/>
      <c r="Y86" s="80"/>
      <c r="Z86" s="80"/>
    </row>
    <row r="87" spans="1:26" s="55" customFormat="1" ht="17.25" customHeight="1">
      <c r="A87" s="83">
        <v>16</v>
      </c>
      <c r="B87" s="81" t="s">
        <v>200</v>
      </c>
      <c r="C87" s="82" t="s">
        <v>120</v>
      </c>
      <c r="D87" s="82"/>
      <c r="E87" s="82"/>
      <c r="F87" s="82">
        <v>15800</v>
      </c>
      <c r="G87" s="82">
        <v>90</v>
      </c>
      <c r="H87" s="83"/>
      <c r="I87" s="82">
        <v>155</v>
      </c>
      <c r="J87" s="83">
        <v>284</v>
      </c>
      <c r="K87" s="95">
        <v>450</v>
      </c>
      <c r="L87" s="82">
        <v>11</v>
      </c>
      <c r="M87" s="83">
        <v>272</v>
      </c>
      <c r="N87" s="82"/>
      <c r="O87" s="82">
        <v>5</v>
      </c>
      <c r="P87" s="83">
        <v>125</v>
      </c>
      <c r="Q87" s="83">
        <f t="shared" si="14"/>
        <v>1392</v>
      </c>
      <c r="R87" s="83"/>
      <c r="S87" s="83">
        <f>Q87+F87</f>
        <v>17192</v>
      </c>
      <c r="T87" s="83">
        <v>17750</v>
      </c>
      <c r="U87" s="82">
        <v>17725</v>
      </c>
      <c r="V87" s="83">
        <f t="shared" si="16"/>
        <v>533</v>
      </c>
      <c r="W87" s="84">
        <f t="shared" si="15"/>
        <v>1950</v>
      </c>
      <c r="X87" s="85"/>
      <c r="Y87" s="86"/>
      <c r="Z87" s="86"/>
    </row>
    <row r="88" spans="1:26" s="54" customFormat="1" ht="17.25" customHeight="1">
      <c r="A88" s="74">
        <v>17</v>
      </c>
      <c r="B88" s="75" t="s">
        <v>201</v>
      </c>
      <c r="C88" s="76" t="s">
        <v>120</v>
      </c>
      <c r="D88" s="76"/>
      <c r="E88" s="76"/>
      <c r="F88" s="76">
        <v>18000</v>
      </c>
      <c r="G88" s="76">
        <v>90</v>
      </c>
      <c r="H88" s="74"/>
      <c r="I88" s="76"/>
      <c r="J88" s="74"/>
      <c r="K88" s="76"/>
      <c r="L88" s="76"/>
      <c r="M88" s="74"/>
      <c r="N88" s="76"/>
      <c r="O88" s="76">
        <v>5</v>
      </c>
      <c r="P88" s="74"/>
      <c r="Q88" s="74">
        <f t="shared" si="14"/>
        <v>95</v>
      </c>
      <c r="R88" s="74"/>
      <c r="S88" s="74">
        <f t="shared" si="17"/>
        <v>18095</v>
      </c>
      <c r="T88" s="74"/>
      <c r="U88" s="76"/>
      <c r="V88" s="74">
        <f t="shared" si="16"/>
        <v>-18095</v>
      </c>
      <c r="W88" s="96">
        <f t="shared" si="15"/>
        <v>-18000</v>
      </c>
      <c r="X88" s="79"/>
      <c r="Y88" s="80"/>
      <c r="Z88" s="80"/>
    </row>
    <row r="89" spans="1:26" s="54" customFormat="1" ht="18.75" customHeight="1">
      <c r="A89" s="74">
        <v>18</v>
      </c>
      <c r="B89" s="75" t="s">
        <v>202</v>
      </c>
      <c r="C89" s="76" t="s">
        <v>120</v>
      </c>
      <c r="D89" s="76"/>
      <c r="E89" s="76"/>
      <c r="F89" s="76">
        <v>13150</v>
      </c>
      <c r="G89" s="76">
        <v>20</v>
      </c>
      <c r="H89" s="74"/>
      <c r="I89" s="76"/>
      <c r="J89" s="74"/>
      <c r="K89" s="76"/>
      <c r="L89" s="76"/>
      <c r="M89" s="74"/>
      <c r="N89" s="76"/>
      <c r="O89" s="76">
        <v>5</v>
      </c>
      <c r="P89" s="74"/>
      <c r="Q89" s="74">
        <f t="shared" si="14"/>
        <v>25</v>
      </c>
      <c r="R89" s="74"/>
      <c r="S89" s="74">
        <f t="shared" si="17"/>
        <v>13175</v>
      </c>
      <c r="T89" s="74"/>
      <c r="U89" s="76"/>
      <c r="V89" s="74">
        <f t="shared" si="16"/>
        <v>-13175</v>
      </c>
      <c r="W89" s="96">
        <f t="shared" si="15"/>
        <v>-13150</v>
      </c>
      <c r="X89" s="79"/>
      <c r="Y89" s="80"/>
      <c r="Z89" s="80"/>
    </row>
    <row r="90" spans="1:26" s="55" customFormat="1" ht="17.25" customHeight="1">
      <c r="A90" s="83">
        <v>19</v>
      </c>
      <c r="B90" s="81" t="s">
        <v>155</v>
      </c>
      <c r="C90" s="82" t="s">
        <v>120</v>
      </c>
      <c r="D90" s="82" t="s">
        <v>308</v>
      </c>
      <c r="E90" s="82"/>
      <c r="F90" s="82">
        <v>16500</v>
      </c>
      <c r="G90" s="82"/>
      <c r="H90" s="83"/>
      <c r="I90" s="82">
        <v>90</v>
      </c>
      <c r="J90" s="83">
        <v>316</v>
      </c>
      <c r="K90" s="95">
        <v>450</v>
      </c>
      <c r="L90" s="82">
        <v>50</v>
      </c>
      <c r="M90" s="83">
        <v>343</v>
      </c>
      <c r="N90" s="82"/>
      <c r="O90" s="82">
        <v>5</v>
      </c>
      <c r="P90" s="83">
        <v>110</v>
      </c>
      <c r="Q90" s="83">
        <f>SUM(G90:P90)</f>
        <v>1364</v>
      </c>
      <c r="R90" s="83"/>
      <c r="S90" s="83">
        <f>Q90+F90</f>
        <v>17864</v>
      </c>
      <c r="T90" s="83">
        <v>18500</v>
      </c>
      <c r="U90" s="82">
        <v>18450</v>
      </c>
      <c r="V90" s="83">
        <f>U90-S90</f>
        <v>586</v>
      </c>
      <c r="W90" s="84">
        <f t="shared" si="15"/>
        <v>2000</v>
      </c>
      <c r="X90" s="85"/>
      <c r="Y90" s="86"/>
      <c r="Z90" s="86"/>
    </row>
    <row r="91" spans="1:26" s="55" customFormat="1" ht="17.25" customHeight="1">
      <c r="A91" s="83">
        <v>19</v>
      </c>
      <c r="B91" s="81" t="s">
        <v>155</v>
      </c>
      <c r="C91" s="82" t="s">
        <v>120</v>
      </c>
      <c r="D91" s="82" t="s">
        <v>309</v>
      </c>
      <c r="E91" s="82"/>
      <c r="F91" s="82">
        <v>16500</v>
      </c>
      <c r="G91" s="82"/>
      <c r="H91" s="83"/>
      <c r="I91" s="82">
        <v>165</v>
      </c>
      <c r="J91" s="83">
        <v>306</v>
      </c>
      <c r="K91" s="95">
        <v>480</v>
      </c>
      <c r="L91" s="82">
        <v>50</v>
      </c>
      <c r="M91" s="83"/>
      <c r="N91" s="82">
        <v>200</v>
      </c>
      <c r="O91" s="82">
        <v>5</v>
      </c>
      <c r="P91" s="83">
        <v>100</v>
      </c>
      <c r="Q91" s="83">
        <f>SUM(G91:P91)</f>
        <v>1306</v>
      </c>
      <c r="R91" s="83"/>
      <c r="S91" s="83">
        <f>Q91+F91</f>
        <v>17806</v>
      </c>
      <c r="T91" s="83">
        <v>18500</v>
      </c>
      <c r="U91" s="82">
        <v>18500</v>
      </c>
      <c r="V91" s="83">
        <f>U91-S91</f>
        <v>694</v>
      </c>
      <c r="W91" s="84">
        <f t="shared" si="15"/>
        <v>2000</v>
      </c>
      <c r="X91" s="85"/>
      <c r="Y91" s="86"/>
      <c r="Z91" s="86"/>
    </row>
    <row r="92" spans="1:26" s="54" customFormat="1" ht="17.25" customHeight="1">
      <c r="A92" s="74">
        <v>19</v>
      </c>
      <c r="B92" s="75" t="s">
        <v>155</v>
      </c>
      <c r="C92" s="76" t="s">
        <v>120</v>
      </c>
      <c r="D92" s="76"/>
      <c r="E92" s="76"/>
      <c r="F92" s="76">
        <v>16500</v>
      </c>
      <c r="G92" s="76">
        <v>70</v>
      </c>
      <c r="H92" s="74"/>
      <c r="I92" s="76"/>
      <c r="J92" s="74"/>
      <c r="K92" s="76"/>
      <c r="L92" s="76"/>
      <c r="M92" s="74"/>
      <c r="N92" s="76"/>
      <c r="O92" s="76">
        <v>5</v>
      </c>
      <c r="P92" s="74"/>
      <c r="Q92" s="74">
        <f t="shared" si="14"/>
        <v>75</v>
      </c>
      <c r="R92" s="74"/>
      <c r="S92" s="74">
        <f t="shared" si="17"/>
        <v>16575</v>
      </c>
      <c r="T92" s="74"/>
      <c r="U92" s="76"/>
      <c r="V92" s="74">
        <f t="shared" si="16"/>
        <v>-16575</v>
      </c>
      <c r="W92" s="96">
        <f t="shared" si="15"/>
        <v>-16500</v>
      </c>
      <c r="X92" s="79"/>
      <c r="Y92" s="80"/>
      <c r="Z92" s="80"/>
    </row>
    <row r="93" spans="1:26" s="57" customFormat="1" ht="17.25" customHeight="1">
      <c r="A93" s="99">
        <v>20</v>
      </c>
      <c r="B93" s="97" t="s">
        <v>307</v>
      </c>
      <c r="C93" s="98" t="s">
        <v>77</v>
      </c>
      <c r="D93" s="98"/>
      <c r="E93" s="98"/>
      <c r="F93" s="98">
        <v>8800</v>
      </c>
      <c r="G93" s="98"/>
      <c r="H93" s="99"/>
      <c r="I93" s="98"/>
      <c r="J93" s="99"/>
      <c r="K93" s="98"/>
      <c r="L93" s="98"/>
      <c r="M93" s="99"/>
      <c r="N93" s="98"/>
      <c r="O93" s="98">
        <v>5</v>
      </c>
      <c r="P93" s="99"/>
      <c r="Q93" s="99">
        <f t="shared" si="14"/>
        <v>5</v>
      </c>
      <c r="R93" s="99"/>
      <c r="S93" s="99">
        <f t="shared" si="17"/>
        <v>8805</v>
      </c>
      <c r="T93" s="99"/>
      <c r="U93" s="98"/>
      <c r="V93" s="99">
        <f t="shared" si="16"/>
        <v>-8805</v>
      </c>
      <c r="W93" s="100">
        <f t="shared" si="15"/>
        <v>-8800</v>
      </c>
      <c r="X93" s="101"/>
      <c r="Y93" s="102"/>
      <c r="Z93" s="102"/>
    </row>
    <row r="94" spans="1:26" s="55" customFormat="1" ht="17.25" hidden="1" customHeight="1">
      <c r="A94" s="74">
        <v>41.3333333333333</v>
      </c>
      <c r="B94" s="81" t="s">
        <v>203</v>
      </c>
      <c r="C94" s="82" t="s">
        <v>145</v>
      </c>
      <c r="D94" s="82" t="s">
        <v>204</v>
      </c>
      <c r="E94" s="82"/>
      <c r="F94" s="82">
        <v>10300</v>
      </c>
      <c r="G94" s="82"/>
      <c r="H94" s="83"/>
      <c r="I94" s="82"/>
      <c r="J94" s="83">
        <v>213</v>
      </c>
      <c r="K94" s="82"/>
      <c r="L94" s="82"/>
      <c r="M94" s="83"/>
      <c r="N94" s="82">
        <v>8</v>
      </c>
      <c r="O94" s="82">
        <v>10</v>
      </c>
      <c r="P94" s="83">
        <v>175</v>
      </c>
      <c r="Q94" s="83">
        <f t="shared" si="14"/>
        <v>406</v>
      </c>
      <c r="R94" s="83"/>
      <c r="S94" s="83">
        <f t="shared" si="17"/>
        <v>10706</v>
      </c>
      <c r="T94" s="83">
        <v>11490</v>
      </c>
      <c r="U94" s="82">
        <v>11530</v>
      </c>
      <c r="V94" s="83">
        <f t="shared" si="16"/>
        <v>824</v>
      </c>
      <c r="W94" s="96">
        <f t="shared" si="15"/>
        <v>1190</v>
      </c>
      <c r="X94" s="85" t="s">
        <v>205</v>
      </c>
      <c r="Y94" s="86"/>
      <c r="Z94" s="86"/>
    </row>
    <row r="95" spans="1:26" s="55" customFormat="1" ht="17.25" hidden="1" customHeight="1">
      <c r="A95" s="74">
        <v>24</v>
      </c>
      <c r="B95" s="81" t="s">
        <v>206</v>
      </c>
      <c r="C95" s="82" t="s">
        <v>167</v>
      </c>
      <c r="D95" s="82" t="s">
        <v>207</v>
      </c>
      <c r="E95" s="82"/>
      <c r="F95" s="82">
        <v>8345</v>
      </c>
      <c r="G95" s="82"/>
      <c r="H95" s="83">
        <v>4</v>
      </c>
      <c r="I95" s="82">
        <v>80</v>
      </c>
      <c r="J95" s="83">
        <v>183</v>
      </c>
      <c r="K95" s="82"/>
      <c r="L95" s="82"/>
      <c r="M95" s="83">
        <v>108</v>
      </c>
      <c r="N95" s="82"/>
      <c r="O95" s="82"/>
      <c r="P95" s="83">
        <v>150</v>
      </c>
      <c r="Q95" s="83">
        <f t="shared" si="14"/>
        <v>525</v>
      </c>
      <c r="R95" s="83"/>
      <c r="S95" s="83">
        <f t="shared" si="17"/>
        <v>8870</v>
      </c>
      <c r="T95" s="83">
        <v>11200</v>
      </c>
      <c r="U95" s="82">
        <v>9920</v>
      </c>
      <c r="V95" s="83">
        <f t="shared" si="16"/>
        <v>1050</v>
      </c>
      <c r="W95" s="96">
        <f t="shared" si="15"/>
        <v>2855</v>
      </c>
      <c r="X95" s="85" t="s">
        <v>208</v>
      </c>
      <c r="Y95" s="86" t="s">
        <v>16</v>
      </c>
      <c r="Z95" s="86"/>
    </row>
    <row r="96" spans="1:26" s="54" customFormat="1" ht="17.25" customHeight="1">
      <c r="A96" s="74">
        <v>21</v>
      </c>
      <c r="B96" s="75" t="s">
        <v>108</v>
      </c>
      <c r="C96" s="76" t="s">
        <v>120</v>
      </c>
      <c r="D96" s="76"/>
      <c r="E96" s="76"/>
      <c r="F96" s="76">
        <v>10500</v>
      </c>
      <c r="G96" s="76"/>
      <c r="H96" s="74"/>
      <c r="I96" s="76"/>
      <c r="J96" s="74"/>
      <c r="K96" s="76"/>
      <c r="L96" s="76"/>
      <c r="M96" s="74"/>
      <c r="N96" s="76"/>
      <c r="O96" s="76">
        <v>3.5</v>
      </c>
      <c r="P96" s="74"/>
      <c r="Q96" s="74">
        <f t="shared" si="14"/>
        <v>3.5</v>
      </c>
      <c r="R96" s="74"/>
      <c r="S96" s="74">
        <f t="shared" si="17"/>
        <v>10503.5</v>
      </c>
      <c r="T96" s="74"/>
      <c r="U96" s="76"/>
      <c r="V96" s="74">
        <f t="shared" si="16"/>
        <v>-10503.5</v>
      </c>
      <c r="W96" s="96">
        <f t="shared" si="15"/>
        <v>-10500</v>
      </c>
      <c r="X96" s="79"/>
      <c r="Y96" s="80"/>
      <c r="Z96" s="80"/>
    </row>
    <row r="97" spans="1:26" s="55" customFormat="1" ht="17.25" customHeight="1">
      <c r="A97" s="83">
        <v>22</v>
      </c>
      <c r="B97" s="81" t="s">
        <v>317</v>
      </c>
      <c r="C97" s="82" t="s">
        <v>120</v>
      </c>
      <c r="D97" s="82"/>
      <c r="E97" s="82"/>
      <c r="F97" s="82">
        <v>15100</v>
      </c>
      <c r="G97" s="82"/>
      <c r="H97" s="83"/>
      <c r="I97" s="82">
        <v>35</v>
      </c>
      <c r="J97" s="160">
        <v>294</v>
      </c>
      <c r="K97" s="95">
        <v>450</v>
      </c>
      <c r="L97" s="82"/>
      <c r="M97" s="83">
        <v>333</v>
      </c>
      <c r="N97" s="82"/>
      <c r="O97" s="82">
        <v>5</v>
      </c>
      <c r="P97" s="83">
        <v>100</v>
      </c>
      <c r="Q97" s="83">
        <f t="shared" si="14"/>
        <v>1217</v>
      </c>
      <c r="R97" s="83"/>
      <c r="S97" s="83">
        <f t="shared" ref="S97" si="18">Q97+F97</f>
        <v>16317</v>
      </c>
      <c r="T97" s="83">
        <v>16500</v>
      </c>
      <c r="U97" s="82">
        <v>16835</v>
      </c>
      <c r="V97" s="83">
        <f t="shared" ref="V97" si="19">U97-S97</f>
        <v>518</v>
      </c>
      <c r="W97" s="84">
        <f t="shared" si="15"/>
        <v>1400</v>
      </c>
      <c r="X97" s="85"/>
      <c r="Y97" s="86"/>
      <c r="Z97" s="86"/>
    </row>
    <row r="98" spans="1:26" s="55" customFormat="1" ht="18.75" customHeight="1">
      <c r="A98" s="83">
        <v>22</v>
      </c>
      <c r="B98" s="81" t="s">
        <v>209</v>
      </c>
      <c r="C98" s="82" t="s">
        <v>120</v>
      </c>
      <c r="D98" s="82"/>
      <c r="E98" s="82"/>
      <c r="F98" s="82">
        <v>14700</v>
      </c>
      <c r="G98" s="82"/>
      <c r="H98" s="83"/>
      <c r="I98" s="82"/>
      <c r="J98" s="83">
        <v>290</v>
      </c>
      <c r="K98" s="95">
        <v>450</v>
      </c>
      <c r="L98" s="82">
        <v>5</v>
      </c>
      <c r="M98" s="83">
        <v>319</v>
      </c>
      <c r="N98" s="82">
        <v>50</v>
      </c>
      <c r="O98" s="82">
        <v>5</v>
      </c>
      <c r="P98" s="83">
        <v>110</v>
      </c>
      <c r="Q98" s="83">
        <f t="shared" ref="Q98:Q127" si="20">SUM(G98:P98)</f>
        <v>1229</v>
      </c>
      <c r="R98" s="83"/>
      <c r="S98" s="83">
        <f t="shared" si="17"/>
        <v>15929</v>
      </c>
      <c r="T98" s="83">
        <v>16000</v>
      </c>
      <c r="U98" s="82">
        <v>16800</v>
      </c>
      <c r="V98" s="83">
        <f t="shared" si="16"/>
        <v>871</v>
      </c>
      <c r="W98" s="84">
        <f t="shared" si="15"/>
        <v>1300</v>
      </c>
      <c r="X98" s="85"/>
      <c r="Y98" s="86"/>
      <c r="Z98" s="86"/>
    </row>
    <row r="99" spans="1:26" s="55" customFormat="1" ht="17.25" customHeight="1">
      <c r="A99" s="83">
        <v>23</v>
      </c>
      <c r="B99" s="81" t="s">
        <v>210</v>
      </c>
      <c r="C99" s="82" t="s">
        <v>120</v>
      </c>
      <c r="D99" s="82"/>
      <c r="E99" s="82"/>
      <c r="F99" s="82">
        <v>22000</v>
      </c>
      <c r="G99" s="82"/>
      <c r="H99" s="83"/>
      <c r="I99" s="82">
        <v>150</v>
      </c>
      <c r="J99" s="83">
        <v>361</v>
      </c>
      <c r="K99" s="82">
        <v>600</v>
      </c>
      <c r="L99" s="82"/>
      <c r="M99" s="83">
        <v>370</v>
      </c>
      <c r="N99" s="82">
        <v>50</v>
      </c>
      <c r="O99" s="82">
        <v>5</v>
      </c>
      <c r="P99" s="83">
        <v>100</v>
      </c>
      <c r="Q99" s="83">
        <f>SUM(G99:P99)</f>
        <v>1636</v>
      </c>
      <c r="R99" s="83"/>
      <c r="S99" s="83">
        <f>Q99+F99</f>
        <v>23636</v>
      </c>
      <c r="T99" s="83">
        <v>25000</v>
      </c>
      <c r="U99" s="82">
        <v>24500</v>
      </c>
      <c r="V99" s="83">
        <f>U99-S99</f>
        <v>864</v>
      </c>
      <c r="W99" s="84">
        <f t="shared" si="15"/>
        <v>3000</v>
      </c>
      <c r="X99" s="85"/>
      <c r="Y99" s="86"/>
      <c r="Z99" s="86"/>
    </row>
    <row r="100" spans="1:26" s="54" customFormat="1" ht="17.25" customHeight="1">
      <c r="A100" s="74">
        <v>23</v>
      </c>
      <c r="B100" s="75" t="s">
        <v>210</v>
      </c>
      <c r="C100" s="76" t="s">
        <v>120</v>
      </c>
      <c r="D100" s="76"/>
      <c r="E100" s="76"/>
      <c r="F100" s="76">
        <v>22000</v>
      </c>
      <c r="G100" s="76"/>
      <c r="H100" s="74"/>
      <c r="I100" s="76"/>
      <c r="J100" s="74"/>
      <c r="K100" s="76"/>
      <c r="L100" s="76"/>
      <c r="M100" s="74"/>
      <c r="N100" s="76"/>
      <c r="O100" s="76">
        <v>5</v>
      </c>
      <c r="P100" s="74"/>
      <c r="Q100" s="74">
        <f t="shared" si="20"/>
        <v>5</v>
      </c>
      <c r="R100" s="74"/>
      <c r="S100" s="74">
        <f t="shared" si="17"/>
        <v>22005</v>
      </c>
      <c r="T100" s="74"/>
      <c r="U100" s="76"/>
      <c r="V100" s="74">
        <f t="shared" si="16"/>
        <v>-22005</v>
      </c>
      <c r="W100" s="96">
        <f t="shared" si="15"/>
        <v>-22000</v>
      </c>
      <c r="X100" s="79"/>
      <c r="Y100" s="80"/>
      <c r="Z100" s="80"/>
    </row>
    <row r="101" spans="1:26" s="54" customFormat="1" ht="17.25" customHeight="1">
      <c r="A101" s="74">
        <v>24</v>
      </c>
      <c r="B101" s="75" t="s">
        <v>211</v>
      </c>
      <c r="C101" s="76" t="s">
        <v>120</v>
      </c>
      <c r="D101" s="76"/>
      <c r="E101" s="76"/>
      <c r="F101" s="76">
        <v>13000</v>
      </c>
      <c r="G101" s="76"/>
      <c r="H101" s="74"/>
      <c r="I101" s="76"/>
      <c r="J101" s="74"/>
      <c r="K101" s="76"/>
      <c r="L101" s="76"/>
      <c r="M101" s="74"/>
      <c r="N101" s="76"/>
      <c r="O101" s="76">
        <v>5</v>
      </c>
      <c r="P101" s="74"/>
      <c r="Q101" s="74">
        <f t="shared" si="20"/>
        <v>5</v>
      </c>
      <c r="R101" s="74"/>
      <c r="S101" s="74">
        <f t="shared" si="17"/>
        <v>13005</v>
      </c>
      <c r="T101" s="74"/>
      <c r="U101" s="76"/>
      <c r="V101" s="74">
        <f t="shared" si="16"/>
        <v>-13005</v>
      </c>
      <c r="W101" s="96">
        <f t="shared" si="15"/>
        <v>-13000</v>
      </c>
      <c r="X101" s="79"/>
      <c r="Y101" s="80"/>
      <c r="Z101" s="80"/>
    </row>
    <row r="102" spans="1:26" s="54" customFormat="1" ht="17.25" customHeight="1">
      <c r="A102" s="74">
        <v>25</v>
      </c>
      <c r="B102" s="75" t="s">
        <v>202</v>
      </c>
      <c r="C102" s="76" t="s">
        <v>120</v>
      </c>
      <c r="D102" s="76"/>
      <c r="E102" s="76"/>
      <c r="F102" s="76">
        <v>13300</v>
      </c>
      <c r="G102" s="76"/>
      <c r="H102" s="74"/>
      <c r="I102" s="76">
        <v>145</v>
      </c>
      <c r="J102" s="74"/>
      <c r="K102" s="76"/>
      <c r="L102" s="76"/>
      <c r="M102" s="74"/>
      <c r="N102" s="76"/>
      <c r="O102" s="76">
        <v>5</v>
      </c>
      <c r="P102" s="74"/>
      <c r="Q102" s="74">
        <f t="shared" si="20"/>
        <v>150</v>
      </c>
      <c r="R102" s="74"/>
      <c r="S102" s="74">
        <f t="shared" si="17"/>
        <v>13450</v>
      </c>
      <c r="T102" s="74">
        <v>15500</v>
      </c>
      <c r="U102" s="76">
        <v>15350</v>
      </c>
      <c r="V102" s="74">
        <f t="shared" si="16"/>
        <v>1900</v>
      </c>
      <c r="W102" s="78">
        <f t="shared" si="15"/>
        <v>2200</v>
      </c>
      <c r="X102" s="79"/>
      <c r="Y102" s="80"/>
      <c r="Z102" s="80"/>
    </row>
    <row r="103" spans="1:26" s="158" customFormat="1" ht="17.25" customHeight="1">
      <c r="A103" s="153">
        <v>26</v>
      </c>
      <c r="B103" s="154" t="s">
        <v>328</v>
      </c>
      <c r="C103" s="155" t="s">
        <v>97</v>
      </c>
      <c r="D103" s="155"/>
      <c r="E103" s="155"/>
      <c r="F103" s="155">
        <v>11150</v>
      </c>
      <c r="G103" s="155"/>
      <c r="H103" s="153">
        <v>50</v>
      </c>
      <c r="I103" s="155">
        <v>135</v>
      </c>
      <c r="J103" s="153"/>
      <c r="K103" s="155"/>
      <c r="L103" s="155"/>
      <c r="M103" s="153"/>
      <c r="N103" s="155"/>
      <c r="O103" s="155"/>
      <c r="P103" s="153"/>
      <c r="Q103" s="153">
        <f t="shared" si="20"/>
        <v>185</v>
      </c>
      <c r="R103" s="153"/>
      <c r="S103" s="153">
        <f t="shared" si="17"/>
        <v>11335</v>
      </c>
      <c r="T103" s="153">
        <v>12900</v>
      </c>
      <c r="U103" s="155">
        <v>12365</v>
      </c>
      <c r="V103" s="153">
        <f t="shared" si="16"/>
        <v>1030</v>
      </c>
      <c r="W103" s="96"/>
      <c r="X103" s="156"/>
      <c r="Y103" s="157"/>
      <c r="Z103" s="157"/>
    </row>
    <row r="104" spans="1:26" s="158" customFormat="1" ht="17.25" customHeight="1">
      <c r="A104" s="153">
        <v>27</v>
      </c>
      <c r="B104" s="154" t="s">
        <v>339</v>
      </c>
      <c r="C104" s="155" t="s">
        <v>310</v>
      </c>
      <c r="D104" s="155"/>
      <c r="E104" s="155"/>
      <c r="F104" s="155">
        <v>16000</v>
      </c>
      <c r="G104" s="155"/>
      <c r="H104" s="153"/>
      <c r="I104" s="155"/>
      <c r="J104" s="153"/>
      <c r="K104" s="155"/>
      <c r="L104" s="155">
        <v>6</v>
      </c>
      <c r="M104" s="153"/>
      <c r="N104" s="155"/>
      <c r="O104" s="155">
        <v>10</v>
      </c>
      <c r="P104" s="153"/>
      <c r="Q104" s="153">
        <f t="shared" si="20"/>
        <v>16</v>
      </c>
      <c r="R104" s="153"/>
      <c r="S104" s="153">
        <f t="shared" si="17"/>
        <v>16016</v>
      </c>
      <c r="T104" s="153"/>
      <c r="U104" s="155">
        <v>16500</v>
      </c>
      <c r="V104" s="153">
        <f t="shared" si="16"/>
        <v>484</v>
      </c>
      <c r="W104" s="96"/>
      <c r="X104" s="156"/>
      <c r="Y104" s="157"/>
      <c r="Z104" s="157"/>
    </row>
    <row r="105" spans="1:26" s="54" customFormat="1" ht="17.25" customHeight="1">
      <c r="A105" s="74">
        <v>28</v>
      </c>
      <c r="B105" s="75" t="s">
        <v>212</v>
      </c>
      <c r="C105" s="76" t="s">
        <v>120</v>
      </c>
      <c r="D105" s="76"/>
      <c r="E105" s="76"/>
      <c r="F105" s="76">
        <v>11350</v>
      </c>
      <c r="G105" s="76"/>
      <c r="H105" s="74"/>
      <c r="I105" s="76"/>
      <c r="J105" s="74"/>
      <c r="K105" s="76"/>
      <c r="L105" s="76"/>
      <c r="M105" s="74"/>
      <c r="N105" s="76"/>
      <c r="O105" s="76">
        <v>5</v>
      </c>
      <c r="P105" s="74"/>
      <c r="Q105" s="74">
        <f t="shared" si="20"/>
        <v>5</v>
      </c>
      <c r="R105" s="74"/>
      <c r="S105" s="74">
        <f t="shared" si="17"/>
        <v>11355</v>
      </c>
      <c r="T105" s="74"/>
      <c r="U105" s="76"/>
      <c r="V105" s="74">
        <f t="shared" si="16"/>
        <v>-11355</v>
      </c>
      <c r="W105" s="96">
        <f t="shared" ref="W105:W123" si="21">T:T-F:F</f>
        <v>-11350</v>
      </c>
      <c r="X105" s="79"/>
      <c r="Y105" s="80"/>
      <c r="Z105" s="80"/>
    </row>
    <row r="106" spans="1:26" s="54" customFormat="1" ht="17.25" customHeight="1">
      <c r="A106" s="74">
        <v>29</v>
      </c>
      <c r="B106" s="75" t="s">
        <v>304</v>
      </c>
      <c r="C106" s="76" t="s">
        <v>120</v>
      </c>
      <c r="D106" s="76"/>
      <c r="E106" s="76"/>
      <c r="F106" s="76"/>
      <c r="G106" s="76"/>
      <c r="H106" s="74"/>
      <c r="I106" s="76"/>
      <c r="J106" s="74"/>
      <c r="K106" s="76"/>
      <c r="L106" s="76"/>
      <c r="M106" s="74"/>
      <c r="N106" s="76"/>
      <c r="O106" s="76">
        <v>5</v>
      </c>
      <c r="P106" s="74"/>
      <c r="Q106" s="74">
        <f t="shared" si="20"/>
        <v>5</v>
      </c>
      <c r="R106" s="74"/>
      <c r="S106" s="74">
        <f t="shared" si="17"/>
        <v>5</v>
      </c>
      <c r="T106" s="74"/>
      <c r="U106" s="76"/>
      <c r="V106" s="74">
        <f t="shared" si="16"/>
        <v>-5</v>
      </c>
      <c r="W106" s="96">
        <f t="shared" si="21"/>
        <v>0</v>
      </c>
      <c r="X106" s="79"/>
      <c r="Y106" s="80"/>
      <c r="Z106" s="80"/>
    </row>
    <row r="107" spans="1:26" s="54" customFormat="1" ht="17.25" customHeight="1">
      <c r="A107" s="74">
        <v>30</v>
      </c>
      <c r="B107" s="75" t="s">
        <v>303</v>
      </c>
      <c r="C107" s="76" t="s">
        <v>120</v>
      </c>
      <c r="D107" s="76"/>
      <c r="E107" s="76"/>
      <c r="F107" s="76"/>
      <c r="G107" s="76"/>
      <c r="H107" s="74"/>
      <c r="I107" s="76"/>
      <c r="J107" s="74"/>
      <c r="K107" s="76"/>
      <c r="L107" s="76"/>
      <c r="M107" s="74"/>
      <c r="N107" s="76"/>
      <c r="O107" s="76">
        <v>3.5</v>
      </c>
      <c r="P107" s="74"/>
      <c r="Q107" s="74">
        <f t="shared" si="20"/>
        <v>3.5</v>
      </c>
      <c r="R107" s="74"/>
      <c r="S107" s="74">
        <f t="shared" ref="S107:S127" si="22">Q107+F107</f>
        <v>3.5</v>
      </c>
      <c r="T107" s="74"/>
      <c r="U107" s="76"/>
      <c r="V107" s="74">
        <f t="shared" ref="V107:V127" si="23">U107-S107</f>
        <v>-3.5</v>
      </c>
      <c r="W107" s="96">
        <f t="shared" si="21"/>
        <v>0</v>
      </c>
      <c r="X107" s="79"/>
      <c r="Y107" s="80"/>
      <c r="Z107" s="80"/>
    </row>
    <row r="108" spans="1:26" s="54" customFormat="1" ht="15">
      <c r="A108" s="74">
        <v>31</v>
      </c>
      <c r="B108" s="75" t="s">
        <v>213</v>
      </c>
      <c r="C108" s="76" t="s">
        <v>120</v>
      </c>
      <c r="D108" s="76"/>
      <c r="E108" s="76"/>
      <c r="F108" s="76">
        <v>11500</v>
      </c>
      <c r="G108" s="76"/>
      <c r="H108" s="74">
        <v>3</v>
      </c>
      <c r="I108" s="76"/>
      <c r="J108" s="74"/>
      <c r="K108" s="76"/>
      <c r="L108" s="76"/>
      <c r="M108" s="74"/>
      <c r="N108" s="76">
        <v>10</v>
      </c>
      <c r="O108" s="76"/>
      <c r="P108" s="74"/>
      <c r="Q108" s="74">
        <f t="shared" si="20"/>
        <v>13</v>
      </c>
      <c r="R108" s="74"/>
      <c r="S108" s="74">
        <f t="shared" si="22"/>
        <v>11513</v>
      </c>
      <c r="T108" s="74"/>
      <c r="U108" s="76"/>
      <c r="V108" s="74">
        <f t="shared" si="23"/>
        <v>-11513</v>
      </c>
      <c r="W108" s="96">
        <f t="shared" si="21"/>
        <v>-11500</v>
      </c>
      <c r="X108" s="79"/>
      <c r="Y108" s="80"/>
      <c r="Z108" s="80"/>
    </row>
    <row r="109" spans="1:26" s="55" customFormat="1" ht="17.25" hidden="1" customHeight="1">
      <c r="A109" s="74">
        <v>42.8333333333333</v>
      </c>
      <c r="B109" s="81" t="s">
        <v>214</v>
      </c>
      <c r="C109" s="82" t="s">
        <v>120</v>
      </c>
      <c r="D109" s="82" t="s">
        <v>215</v>
      </c>
      <c r="E109" s="82"/>
      <c r="F109" s="82">
        <v>13900</v>
      </c>
      <c r="G109" s="82"/>
      <c r="H109" s="83"/>
      <c r="I109" s="82">
        <v>20</v>
      </c>
      <c r="J109" s="83">
        <v>260</v>
      </c>
      <c r="K109" s="82">
        <v>400</v>
      </c>
      <c r="L109" s="82"/>
      <c r="M109" s="83">
        <v>317</v>
      </c>
      <c r="N109" s="82"/>
      <c r="O109" s="82"/>
      <c r="P109" s="83">
        <v>50</v>
      </c>
      <c r="Q109" s="83">
        <f t="shared" si="20"/>
        <v>1047</v>
      </c>
      <c r="R109" s="83"/>
      <c r="S109" s="83">
        <f t="shared" si="22"/>
        <v>14947</v>
      </c>
      <c r="T109" s="83">
        <v>15000</v>
      </c>
      <c r="U109" s="82">
        <v>15400</v>
      </c>
      <c r="V109" s="83">
        <f t="shared" si="23"/>
        <v>453</v>
      </c>
      <c r="W109" s="96">
        <f t="shared" si="21"/>
        <v>1100</v>
      </c>
      <c r="X109" s="85"/>
      <c r="Y109" s="86"/>
      <c r="Z109" s="86"/>
    </row>
    <row r="110" spans="1:26" s="55" customFormat="1" ht="17.25" hidden="1" customHeight="1">
      <c r="A110" s="74">
        <v>43.3333333333333</v>
      </c>
      <c r="B110" s="81" t="s">
        <v>189</v>
      </c>
      <c r="C110" s="82" t="s">
        <v>120</v>
      </c>
      <c r="D110" s="82" t="s">
        <v>216</v>
      </c>
      <c r="E110" s="82"/>
      <c r="F110" s="82">
        <v>12750</v>
      </c>
      <c r="G110" s="82"/>
      <c r="H110" s="83">
        <v>12</v>
      </c>
      <c r="I110" s="82">
        <v>80</v>
      </c>
      <c r="J110" s="83">
        <v>275</v>
      </c>
      <c r="K110" s="95">
        <v>300</v>
      </c>
      <c r="L110" s="82"/>
      <c r="M110" s="83">
        <v>326</v>
      </c>
      <c r="N110" s="82"/>
      <c r="O110" s="82"/>
      <c r="P110" s="83">
        <v>100</v>
      </c>
      <c r="Q110" s="83">
        <f t="shared" si="20"/>
        <v>1093</v>
      </c>
      <c r="R110" s="83"/>
      <c r="S110" s="83">
        <f t="shared" si="22"/>
        <v>13843</v>
      </c>
      <c r="T110" s="83">
        <v>14800</v>
      </c>
      <c r="U110" s="82">
        <v>14720</v>
      </c>
      <c r="V110" s="83">
        <f t="shared" si="23"/>
        <v>877</v>
      </c>
      <c r="W110" s="96">
        <f t="shared" si="21"/>
        <v>2050</v>
      </c>
      <c r="X110" s="85"/>
      <c r="Y110" s="86"/>
      <c r="Z110" s="86"/>
    </row>
    <row r="111" spans="1:26" s="55" customFormat="1" ht="17.25" hidden="1" customHeight="1">
      <c r="A111" s="83">
        <v>28</v>
      </c>
      <c r="B111" s="81" t="s">
        <v>217</v>
      </c>
      <c r="C111" s="82" t="s">
        <v>218</v>
      </c>
      <c r="D111" s="82"/>
      <c r="E111" s="82"/>
      <c r="F111" s="82">
        <v>10200</v>
      </c>
      <c r="G111" s="82"/>
      <c r="H111" s="83"/>
      <c r="I111" s="82">
        <v>85</v>
      </c>
      <c r="J111" s="83">
        <v>223</v>
      </c>
      <c r="K111" s="82">
        <v>400</v>
      </c>
      <c r="L111" s="82"/>
      <c r="M111" s="83">
        <v>36</v>
      </c>
      <c r="N111" s="82"/>
      <c r="O111" s="82">
        <v>55</v>
      </c>
      <c r="P111" s="83">
        <v>150</v>
      </c>
      <c r="Q111" s="83">
        <f t="shared" si="20"/>
        <v>949</v>
      </c>
      <c r="R111" s="83"/>
      <c r="S111" s="83">
        <f t="shared" si="22"/>
        <v>11149</v>
      </c>
      <c r="T111" s="83">
        <v>12000</v>
      </c>
      <c r="U111" s="82">
        <v>11800</v>
      </c>
      <c r="V111" s="83">
        <f t="shared" si="23"/>
        <v>651</v>
      </c>
      <c r="W111" s="96">
        <f t="shared" si="21"/>
        <v>1800</v>
      </c>
      <c r="X111" s="85"/>
      <c r="Y111" s="86"/>
      <c r="Z111" s="86"/>
    </row>
    <row r="112" spans="1:26" s="55" customFormat="1" ht="17.25" hidden="1" customHeight="1">
      <c r="A112" s="83">
        <v>29</v>
      </c>
      <c r="B112" s="81" t="s">
        <v>219</v>
      </c>
      <c r="C112" s="82" t="s">
        <v>220</v>
      </c>
      <c r="D112" s="82"/>
      <c r="E112" s="82"/>
      <c r="F112" s="82">
        <v>8450</v>
      </c>
      <c r="G112" s="82"/>
      <c r="H112" s="83"/>
      <c r="I112" s="82"/>
      <c r="J112" s="83">
        <v>208</v>
      </c>
      <c r="K112" s="82"/>
      <c r="L112" s="82"/>
      <c r="M112" s="83">
        <v>198</v>
      </c>
      <c r="N112" s="82"/>
      <c r="O112" s="82">
        <v>5</v>
      </c>
      <c r="P112" s="83">
        <v>150</v>
      </c>
      <c r="Q112" s="83">
        <f t="shared" si="20"/>
        <v>561</v>
      </c>
      <c r="R112" s="83"/>
      <c r="S112" s="83">
        <f t="shared" si="22"/>
        <v>9011</v>
      </c>
      <c r="T112" s="83">
        <v>11500</v>
      </c>
      <c r="U112" s="82">
        <v>10200</v>
      </c>
      <c r="V112" s="83">
        <f t="shared" si="23"/>
        <v>1189</v>
      </c>
      <c r="W112" s="96">
        <f t="shared" si="21"/>
        <v>3050</v>
      </c>
      <c r="X112" s="85">
        <v>11500</v>
      </c>
      <c r="Y112" s="86"/>
      <c r="Z112" s="86"/>
    </row>
    <row r="113" spans="1:26" s="55" customFormat="1" ht="17.25" hidden="1" customHeight="1">
      <c r="A113" s="83">
        <v>30</v>
      </c>
      <c r="B113" s="81" t="s">
        <v>221</v>
      </c>
      <c r="C113" s="82" t="s">
        <v>167</v>
      </c>
      <c r="D113" s="82"/>
      <c r="E113" s="82"/>
      <c r="F113" s="82">
        <v>8300</v>
      </c>
      <c r="G113" s="82"/>
      <c r="H113" s="83"/>
      <c r="I113" s="82">
        <v>100</v>
      </c>
      <c r="J113" s="83">
        <v>150</v>
      </c>
      <c r="K113" s="82">
        <v>400</v>
      </c>
      <c r="L113" s="82"/>
      <c r="M113" s="83">
        <v>33</v>
      </c>
      <c r="N113" s="82">
        <v>35</v>
      </c>
      <c r="O113" s="82"/>
      <c r="P113" s="83">
        <v>250</v>
      </c>
      <c r="Q113" s="83">
        <f t="shared" si="20"/>
        <v>968</v>
      </c>
      <c r="R113" s="83"/>
      <c r="S113" s="83">
        <f t="shared" si="22"/>
        <v>9268</v>
      </c>
      <c r="T113" s="83">
        <v>11000</v>
      </c>
      <c r="U113" s="82">
        <v>10500</v>
      </c>
      <c r="V113" s="83">
        <f t="shared" si="23"/>
        <v>1232</v>
      </c>
      <c r="W113" s="96">
        <f t="shared" si="21"/>
        <v>2700</v>
      </c>
      <c r="X113" s="85">
        <v>11000</v>
      </c>
      <c r="Y113" s="86"/>
      <c r="Z113" s="86"/>
    </row>
    <row r="114" spans="1:26" s="55" customFormat="1" ht="17.25" hidden="1" customHeight="1">
      <c r="A114" s="74">
        <v>31</v>
      </c>
      <c r="B114" s="81" t="s">
        <v>222</v>
      </c>
      <c r="C114" s="82" t="s">
        <v>223</v>
      </c>
      <c r="D114" s="82" t="s">
        <v>224</v>
      </c>
      <c r="E114" s="82"/>
      <c r="F114" s="82"/>
      <c r="G114" s="82"/>
      <c r="H114" s="83"/>
      <c r="I114" s="82"/>
      <c r="J114" s="83"/>
      <c r="K114" s="82"/>
      <c r="L114" s="82"/>
      <c r="M114" s="83"/>
      <c r="N114" s="82"/>
      <c r="O114" s="82">
        <v>85</v>
      </c>
      <c r="P114" s="83"/>
      <c r="Q114" s="83">
        <f t="shared" si="20"/>
        <v>85</v>
      </c>
      <c r="R114" s="83"/>
      <c r="S114" s="83">
        <f t="shared" si="22"/>
        <v>85</v>
      </c>
      <c r="T114" s="83"/>
      <c r="U114" s="82">
        <v>692.5</v>
      </c>
      <c r="V114" s="83">
        <f t="shared" si="23"/>
        <v>607.5</v>
      </c>
      <c r="W114" s="96">
        <f t="shared" si="21"/>
        <v>0</v>
      </c>
      <c r="X114" s="85"/>
      <c r="Y114" s="86"/>
      <c r="Z114" s="86"/>
    </row>
    <row r="115" spans="1:26" s="55" customFormat="1" ht="17.25" hidden="1" customHeight="1">
      <c r="A115" s="83">
        <v>32</v>
      </c>
      <c r="B115" s="81" t="s">
        <v>225</v>
      </c>
      <c r="C115" s="82" t="s">
        <v>120</v>
      </c>
      <c r="D115" s="82"/>
      <c r="E115" s="82"/>
      <c r="F115" s="82">
        <v>14700</v>
      </c>
      <c r="G115" s="82"/>
      <c r="H115" s="83"/>
      <c r="I115" s="82"/>
      <c r="J115" s="83">
        <v>283</v>
      </c>
      <c r="K115" s="82">
        <v>400</v>
      </c>
      <c r="L115" s="82"/>
      <c r="M115" s="83"/>
      <c r="N115" s="82"/>
      <c r="O115" s="82">
        <v>5</v>
      </c>
      <c r="P115" s="83">
        <v>100</v>
      </c>
      <c r="Q115" s="83">
        <f t="shared" si="20"/>
        <v>788</v>
      </c>
      <c r="R115" s="83"/>
      <c r="S115" s="83">
        <f t="shared" si="22"/>
        <v>15488</v>
      </c>
      <c r="T115" s="83">
        <v>16000</v>
      </c>
      <c r="U115" s="82">
        <v>16100</v>
      </c>
      <c r="V115" s="83">
        <f t="shared" si="23"/>
        <v>612</v>
      </c>
      <c r="W115" s="96">
        <f t="shared" si="21"/>
        <v>1300</v>
      </c>
      <c r="X115" s="85"/>
      <c r="Y115" s="86"/>
      <c r="Z115" s="86"/>
    </row>
    <row r="116" spans="1:26" s="55" customFormat="1" ht="17.25" hidden="1" customHeight="1">
      <c r="A116" s="83">
        <v>33</v>
      </c>
      <c r="B116" s="81" t="s">
        <v>226</v>
      </c>
      <c r="C116" s="82" t="s">
        <v>167</v>
      </c>
      <c r="D116" s="82"/>
      <c r="E116" s="82"/>
      <c r="F116" s="82">
        <v>10200</v>
      </c>
      <c r="G116" s="82"/>
      <c r="H116" s="83">
        <v>73</v>
      </c>
      <c r="I116" s="82">
        <v>135</v>
      </c>
      <c r="J116" s="83">
        <v>200</v>
      </c>
      <c r="K116" s="82">
        <v>400</v>
      </c>
      <c r="L116" s="82"/>
      <c r="M116" s="83">
        <v>33</v>
      </c>
      <c r="N116" s="82">
        <v>60</v>
      </c>
      <c r="O116" s="82">
        <v>3</v>
      </c>
      <c r="P116" s="83">
        <v>100</v>
      </c>
      <c r="Q116" s="83">
        <f t="shared" si="20"/>
        <v>1004</v>
      </c>
      <c r="R116" s="83"/>
      <c r="S116" s="83">
        <f t="shared" si="22"/>
        <v>11204</v>
      </c>
      <c r="T116" s="83">
        <v>11900</v>
      </c>
      <c r="U116" s="82">
        <v>11715</v>
      </c>
      <c r="V116" s="83">
        <f t="shared" si="23"/>
        <v>511</v>
      </c>
      <c r="W116" s="96">
        <f t="shared" si="21"/>
        <v>1700</v>
      </c>
      <c r="X116" s="85"/>
      <c r="Y116" s="86"/>
      <c r="Z116" s="86"/>
    </row>
    <row r="117" spans="1:26" s="55" customFormat="1" ht="17.25" hidden="1" customHeight="1">
      <c r="A117" s="83">
        <v>34</v>
      </c>
      <c r="B117" s="81" t="s">
        <v>144</v>
      </c>
      <c r="C117" s="82" t="s">
        <v>167</v>
      </c>
      <c r="D117" s="82"/>
      <c r="E117" s="82"/>
      <c r="F117" s="82">
        <v>10500</v>
      </c>
      <c r="G117" s="82"/>
      <c r="H117" s="83"/>
      <c r="I117" s="82">
        <v>125</v>
      </c>
      <c r="J117" s="83">
        <v>190</v>
      </c>
      <c r="K117" s="82">
        <v>400</v>
      </c>
      <c r="L117" s="82"/>
      <c r="M117" s="83">
        <v>33</v>
      </c>
      <c r="N117" s="82"/>
      <c r="O117" s="82"/>
      <c r="P117" s="83">
        <v>100</v>
      </c>
      <c r="Q117" s="83">
        <f t="shared" si="20"/>
        <v>848</v>
      </c>
      <c r="R117" s="83"/>
      <c r="S117" s="83">
        <f t="shared" si="22"/>
        <v>11348</v>
      </c>
      <c r="T117" s="83">
        <v>11900</v>
      </c>
      <c r="U117" s="82">
        <v>12010</v>
      </c>
      <c r="V117" s="83">
        <f t="shared" si="23"/>
        <v>662</v>
      </c>
      <c r="W117" s="96">
        <f t="shared" si="21"/>
        <v>1400</v>
      </c>
      <c r="X117" s="85"/>
      <c r="Y117" s="86"/>
      <c r="Z117" s="86"/>
    </row>
    <row r="118" spans="1:26" s="53" customFormat="1" ht="17.25" customHeight="1">
      <c r="A118" s="67">
        <v>32</v>
      </c>
      <c r="B118" s="37" t="s">
        <v>227</v>
      </c>
      <c r="C118" s="68" t="s">
        <v>97</v>
      </c>
      <c r="D118" s="68"/>
      <c r="E118" s="68"/>
      <c r="F118" s="68">
        <v>8350</v>
      </c>
      <c r="G118" s="68"/>
      <c r="H118" s="67"/>
      <c r="I118" s="68">
        <v>80</v>
      </c>
      <c r="J118" s="67">
        <v>173</v>
      </c>
      <c r="K118" s="68"/>
      <c r="L118" s="68"/>
      <c r="M118" s="67">
        <v>105</v>
      </c>
      <c r="N118" s="68"/>
      <c r="O118" s="68"/>
      <c r="P118" s="67">
        <v>100</v>
      </c>
      <c r="Q118" s="67">
        <f t="shared" si="20"/>
        <v>458</v>
      </c>
      <c r="R118" s="67"/>
      <c r="S118" s="67">
        <f t="shared" si="22"/>
        <v>8808</v>
      </c>
      <c r="T118" s="67">
        <v>10600</v>
      </c>
      <c r="U118" s="68">
        <v>9440</v>
      </c>
      <c r="V118" s="67">
        <f t="shared" si="23"/>
        <v>632</v>
      </c>
      <c r="W118" s="93">
        <f t="shared" si="21"/>
        <v>2250</v>
      </c>
      <c r="X118" s="71"/>
      <c r="Y118" s="72"/>
      <c r="Z118" s="72"/>
    </row>
    <row r="119" spans="1:26" s="54" customFormat="1" ht="17.25" customHeight="1">
      <c r="A119" s="74">
        <v>33</v>
      </c>
      <c r="B119" s="75" t="s">
        <v>311</v>
      </c>
      <c r="C119" s="76" t="s">
        <v>310</v>
      </c>
      <c r="D119" s="76"/>
      <c r="E119" s="76"/>
      <c r="F119" s="76">
        <v>9500</v>
      </c>
      <c r="G119" s="76"/>
      <c r="H119" s="74"/>
      <c r="I119" s="76"/>
      <c r="J119" s="74"/>
      <c r="K119" s="76"/>
      <c r="L119" s="76"/>
      <c r="M119" s="74"/>
      <c r="N119" s="76"/>
      <c r="O119" s="76"/>
      <c r="P119" s="74"/>
      <c r="Q119" s="74">
        <f t="shared" ref="Q119" si="24">SUM(G119:P119)</f>
        <v>0</v>
      </c>
      <c r="R119" s="74"/>
      <c r="S119" s="74">
        <f t="shared" ref="S119" si="25">Q119+F119</f>
        <v>9500</v>
      </c>
      <c r="T119" s="74">
        <v>11500</v>
      </c>
      <c r="U119" s="76">
        <v>11350</v>
      </c>
      <c r="V119" s="74">
        <f t="shared" ref="V119" si="26">U119-S119</f>
        <v>1850</v>
      </c>
      <c r="W119" s="96">
        <f t="shared" si="21"/>
        <v>2000</v>
      </c>
      <c r="X119" s="79"/>
      <c r="Y119" s="80"/>
      <c r="Z119" s="80"/>
    </row>
    <row r="120" spans="1:26" s="55" customFormat="1" ht="17.25" customHeight="1">
      <c r="A120" s="83">
        <v>34</v>
      </c>
      <c r="B120" s="81" t="s">
        <v>312</v>
      </c>
      <c r="C120" s="82" t="s">
        <v>310</v>
      </c>
      <c r="D120" s="82" t="s">
        <v>142</v>
      </c>
      <c r="E120" s="82"/>
      <c r="F120" s="82">
        <v>9500</v>
      </c>
      <c r="G120" s="82"/>
      <c r="H120" s="83"/>
      <c r="I120" s="82">
        <v>80</v>
      </c>
      <c r="J120" s="83">
        <v>223</v>
      </c>
      <c r="K120" s="95">
        <v>480</v>
      </c>
      <c r="L120" s="82"/>
      <c r="M120" s="83">
        <v>316</v>
      </c>
      <c r="N120" s="82">
        <v>10</v>
      </c>
      <c r="O120" s="82">
        <v>55</v>
      </c>
      <c r="P120" s="83">
        <v>125</v>
      </c>
      <c r="Q120" s="83">
        <f t="shared" si="20"/>
        <v>1289</v>
      </c>
      <c r="R120" s="83"/>
      <c r="S120" s="83">
        <f t="shared" si="22"/>
        <v>10789</v>
      </c>
      <c r="T120" s="83">
        <v>11500</v>
      </c>
      <c r="U120" s="82">
        <v>11450</v>
      </c>
      <c r="V120" s="83">
        <f t="shared" si="23"/>
        <v>661</v>
      </c>
      <c r="W120" s="84">
        <f t="shared" si="21"/>
        <v>2000</v>
      </c>
      <c r="X120" s="85"/>
      <c r="Y120" s="86"/>
      <c r="Z120" s="86"/>
    </row>
    <row r="121" spans="1:26" s="54" customFormat="1" ht="17.25" customHeight="1">
      <c r="A121" s="74">
        <v>35</v>
      </c>
      <c r="B121" s="75" t="s">
        <v>313</v>
      </c>
      <c r="C121" s="76" t="s">
        <v>310</v>
      </c>
      <c r="D121" s="76"/>
      <c r="E121" s="76"/>
      <c r="F121" s="76">
        <v>18800</v>
      </c>
      <c r="G121" s="76"/>
      <c r="H121" s="74"/>
      <c r="I121" s="76"/>
      <c r="J121" s="74"/>
      <c r="K121" s="76"/>
      <c r="L121" s="76">
        <v>10</v>
      </c>
      <c r="M121" s="74"/>
      <c r="N121" s="76">
        <v>10</v>
      </c>
      <c r="O121" s="76">
        <v>5</v>
      </c>
      <c r="P121" s="74"/>
      <c r="Q121" s="74">
        <f t="shared" si="20"/>
        <v>25</v>
      </c>
      <c r="R121" s="74"/>
      <c r="S121" s="74">
        <f t="shared" si="22"/>
        <v>18825</v>
      </c>
      <c r="T121" s="74"/>
      <c r="U121" s="76"/>
      <c r="V121" s="74">
        <f t="shared" si="23"/>
        <v>-18825</v>
      </c>
      <c r="W121" s="96">
        <f t="shared" si="21"/>
        <v>-18800</v>
      </c>
      <c r="X121" s="79"/>
      <c r="Y121" s="80"/>
      <c r="Z121" s="80"/>
    </row>
    <row r="122" spans="1:26" s="54" customFormat="1" ht="17.25" customHeight="1">
      <c r="A122" s="74">
        <v>36</v>
      </c>
      <c r="B122" s="75" t="s">
        <v>305</v>
      </c>
      <c r="C122" s="76" t="s">
        <v>162</v>
      </c>
      <c r="D122" s="76"/>
      <c r="E122" s="76"/>
      <c r="F122" s="76">
        <v>10350</v>
      </c>
      <c r="G122" s="76"/>
      <c r="H122" s="74"/>
      <c r="I122" s="76"/>
      <c r="J122" s="74"/>
      <c r="K122" s="76"/>
      <c r="L122" s="76"/>
      <c r="M122" s="74"/>
      <c r="N122" s="76"/>
      <c r="O122" s="76">
        <v>10</v>
      </c>
      <c r="P122" s="74"/>
      <c r="Q122" s="74">
        <f t="shared" si="20"/>
        <v>10</v>
      </c>
      <c r="R122" s="74"/>
      <c r="S122" s="74">
        <f t="shared" si="22"/>
        <v>10360</v>
      </c>
      <c r="T122" s="74"/>
      <c r="U122" s="76"/>
      <c r="V122" s="74">
        <f t="shared" si="23"/>
        <v>-10360</v>
      </c>
      <c r="W122" s="96">
        <f t="shared" si="21"/>
        <v>-10350</v>
      </c>
      <c r="X122" s="79"/>
      <c r="Y122" s="80"/>
      <c r="Z122" s="80"/>
    </row>
    <row r="123" spans="1:26" s="54" customFormat="1" ht="17.25" customHeight="1">
      <c r="A123" s="74">
        <v>37</v>
      </c>
      <c r="B123" s="75" t="s">
        <v>345</v>
      </c>
      <c r="C123" s="76" t="s">
        <v>310</v>
      </c>
      <c r="D123" s="76"/>
      <c r="E123" s="76"/>
      <c r="F123" s="76">
        <v>22000</v>
      </c>
      <c r="G123" s="76"/>
      <c r="H123" s="74"/>
      <c r="I123" s="76"/>
      <c r="J123" s="74"/>
      <c r="K123" s="76"/>
      <c r="L123" s="76"/>
      <c r="M123" s="74"/>
      <c r="N123" s="76"/>
      <c r="O123" s="76">
        <v>5</v>
      </c>
      <c r="P123" s="74"/>
      <c r="Q123" s="74">
        <f t="shared" si="20"/>
        <v>5</v>
      </c>
      <c r="R123" s="74"/>
      <c r="S123" s="74">
        <f t="shared" si="22"/>
        <v>22005</v>
      </c>
      <c r="T123" s="74"/>
      <c r="U123" s="76"/>
      <c r="V123" s="74">
        <f t="shared" si="23"/>
        <v>-22005</v>
      </c>
      <c r="W123" s="96">
        <f t="shared" si="21"/>
        <v>-22000</v>
      </c>
      <c r="X123" s="79"/>
      <c r="Y123" s="80"/>
      <c r="Z123" s="80"/>
    </row>
    <row r="124" spans="1:26" s="54" customFormat="1" ht="17.25" customHeight="1">
      <c r="A124" s="74">
        <v>38</v>
      </c>
      <c r="B124" s="75" t="s">
        <v>346</v>
      </c>
      <c r="C124" s="76" t="s">
        <v>310</v>
      </c>
      <c r="D124" s="76"/>
      <c r="E124" s="76"/>
      <c r="F124" s="76"/>
      <c r="G124" s="76"/>
      <c r="H124" s="74"/>
      <c r="I124" s="76"/>
      <c r="J124" s="74"/>
      <c r="K124" s="76"/>
      <c r="L124" s="76"/>
      <c r="M124" s="74"/>
      <c r="N124" s="76"/>
      <c r="O124" s="76">
        <v>5</v>
      </c>
      <c r="P124" s="74"/>
      <c r="Q124" s="74">
        <f t="shared" si="20"/>
        <v>5</v>
      </c>
      <c r="R124" s="74"/>
      <c r="S124" s="74">
        <f t="shared" si="22"/>
        <v>5</v>
      </c>
      <c r="T124" s="74"/>
      <c r="U124" s="76"/>
      <c r="V124" s="74">
        <f t="shared" si="23"/>
        <v>-5</v>
      </c>
      <c r="W124" s="96"/>
      <c r="X124" s="79"/>
      <c r="Y124" s="80"/>
      <c r="Z124" s="80"/>
    </row>
    <row r="125" spans="1:26" s="54" customFormat="1" ht="17.25" customHeight="1">
      <c r="A125" s="74">
        <v>39</v>
      </c>
      <c r="B125" s="75" t="s">
        <v>222</v>
      </c>
      <c r="C125" s="76" t="s">
        <v>310</v>
      </c>
      <c r="D125" s="76"/>
      <c r="E125" s="76"/>
      <c r="F125" s="76"/>
      <c r="G125" s="76"/>
      <c r="H125" s="74"/>
      <c r="I125" s="76"/>
      <c r="J125" s="74"/>
      <c r="K125" s="76"/>
      <c r="L125" s="76"/>
      <c r="M125" s="74"/>
      <c r="N125" s="76"/>
      <c r="O125" s="76">
        <v>5</v>
      </c>
      <c r="P125" s="74"/>
      <c r="Q125" s="74">
        <f t="shared" si="20"/>
        <v>5</v>
      </c>
      <c r="R125" s="74"/>
      <c r="S125" s="74">
        <f t="shared" si="22"/>
        <v>5</v>
      </c>
      <c r="T125" s="74"/>
      <c r="U125" s="76"/>
      <c r="V125" s="74">
        <f t="shared" si="23"/>
        <v>-5</v>
      </c>
      <c r="W125" s="96"/>
      <c r="X125" s="79"/>
      <c r="Y125" s="80"/>
      <c r="Z125" s="80"/>
    </row>
    <row r="126" spans="1:26" s="54" customFormat="1" ht="17.25" customHeight="1">
      <c r="A126" s="74">
        <v>40</v>
      </c>
      <c r="B126" s="75" t="s">
        <v>306</v>
      </c>
      <c r="C126" s="76" t="s">
        <v>162</v>
      </c>
      <c r="D126" s="76"/>
      <c r="E126" s="76"/>
      <c r="F126" s="76">
        <v>8700</v>
      </c>
      <c r="G126" s="76"/>
      <c r="H126" s="74"/>
      <c r="I126" s="76"/>
      <c r="J126" s="74"/>
      <c r="K126" s="76"/>
      <c r="L126" s="76"/>
      <c r="M126" s="74"/>
      <c r="N126" s="76"/>
      <c r="O126" s="76"/>
      <c r="P126" s="74"/>
      <c r="Q126" s="74">
        <f t="shared" si="20"/>
        <v>0</v>
      </c>
      <c r="R126" s="74"/>
      <c r="S126" s="74">
        <f t="shared" si="22"/>
        <v>8700</v>
      </c>
      <c r="T126" s="74"/>
      <c r="U126" s="76"/>
      <c r="V126" s="74">
        <f t="shared" si="23"/>
        <v>-8700</v>
      </c>
      <c r="W126" s="96">
        <f t="shared" ref="W126:W139" si="27">T:T-F:F</f>
        <v>-8700</v>
      </c>
      <c r="X126" s="79"/>
      <c r="Y126" s="80"/>
      <c r="Z126" s="80"/>
    </row>
    <row r="127" spans="1:26" s="54" customFormat="1" ht="17.25" customHeight="1">
      <c r="A127" s="74">
        <v>41</v>
      </c>
      <c r="B127" s="75" t="s">
        <v>297</v>
      </c>
      <c r="C127" s="76" t="s">
        <v>101</v>
      </c>
      <c r="D127" s="76"/>
      <c r="E127" s="76"/>
      <c r="F127" s="95">
        <v>6654</v>
      </c>
      <c r="G127" s="76">
        <v>175</v>
      </c>
      <c r="H127" s="74">
        <v>60</v>
      </c>
      <c r="I127" s="76"/>
      <c r="J127" s="74"/>
      <c r="K127" s="76"/>
      <c r="L127" s="76"/>
      <c r="M127" s="74"/>
      <c r="N127" s="76">
        <v>5</v>
      </c>
      <c r="O127" s="76"/>
      <c r="P127" s="74"/>
      <c r="Q127" s="74">
        <f t="shared" si="20"/>
        <v>240</v>
      </c>
      <c r="R127" s="74"/>
      <c r="S127" s="74">
        <f t="shared" si="22"/>
        <v>6894</v>
      </c>
      <c r="T127" s="74"/>
      <c r="U127" s="76"/>
      <c r="V127" s="74">
        <f t="shared" si="23"/>
        <v>-6894</v>
      </c>
      <c r="W127" s="96">
        <f t="shared" si="27"/>
        <v>-6654</v>
      </c>
      <c r="X127" s="79"/>
      <c r="Y127" s="80"/>
      <c r="Z127" s="80"/>
    </row>
    <row r="128" spans="1:26" s="55" customFormat="1" ht="15">
      <c r="A128" s="83">
        <v>42</v>
      </c>
      <c r="B128" s="81" t="s">
        <v>228</v>
      </c>
      <c r="C128" s="82" t="s">
        <v>120</v>
      </c>
      <c r="D128" s="82"/>
      <c r="E128" s="82"/>
      <c r="F128" s="82">
        <v>14700</v>
      </c>
      <c r="G128" s="82"/>
      <c r="H128" s="83"/>
      <c r="I128" s="82"/>
      <c r="J128" s="83">
        <v>285</v>
      </c>
      <c r="K128" s="82">
        <v>450</v>
      </c>
      <c r="L128" s="82">
        <v>15</v>
      </c>
      <c r="M128" s="83"/>
      <c r="N128" s="82"/>
      <c r="O128" s="160">
        <v>55</v>
      </c>
      <c r="P128" s="83">
        <v>160</v>
      </c>
      <c r="Q128" s="83">
        <f t="shared" ref="Q128:Q138" si="28">SUM(G128:P128)</f>
        <v>965</v>
      </c>
      <c r="R128" s="83"/>
      <c r="S128" s="83">
        <f t="shared" ref="S128:S138" si="29">Q128+F128</f>
        <v>15665</v>
      </c>
      <c r="T128" s="83">
        <v>16000</v>
      </c>
      <c r="U128" s="82">
        <v>16750</v>
      </c>
      <c r="V128" s="83">
        <f t="shared" ref="V128:V138" si="30">U128-S128</f>
        <v>1085</v>
      </c>
      <c r="W128" s="84">
        <f t="shared" si="27"/>
        <v>1300</v>
      </c>
      <c r="X128" s="85"/>
      <c r="Y128" s="86"/>
      <c r="Z128" s="86"/>
    </row>
    <row r="129" spans="1:26" s="55" customFormat="1" ht="16.5" hidden="1" customHeight="1">
      <c r="A129" s="83"/>
      <c r="B129" s="81" t="s">
        <v>229</v>
      </c>
      <c r="C129" s="82" t="s">
        <v>167</v>
      </c>
      <c r="D129" s="82"/>
      <c r="E129" s="82"/>
      <c r="F129" s="82">
        <v>8350</v>
      </c>
      <c r="G129" s="82"/>
      <c r="H129" s="83"/>
      <c r="I129" s="82"/>
      <c r="J129" s="83">
        <v>212.5</v>
      </c>
      <c r="K129" s="82"/>
      <c r="L129" s="82"/>
      <c r="M129" s="83">
        <v>257</v>
      </c>
      <c r="N129" s="82"/>
      <c r="O129" s="82">
        <v>212</v>
      </c>
      <c r="P129" s="83">
        <v>110</v>
      </c>
      <c r="Q129" s="83">
        <f t="shared" si="28"/>
        <v>791.5</v>
      </c>
      <c r="R129" s="83"/>
      <c r="S129" s="83">
        <f t="shared" si="29"/>
        <v>9141.5</v>
      </c>
      <c r="T129" s="83">
        <v>11500</v>
      </c>
      <c r="U129" s="82">
        <v>9975</v>
      </c>
      <c r="V129" s="83">
        <f t="shared" si="30"/>
        <v>833.5</v>
      </c>
      <c r="W129" s="84">
        <f t="shared" si="27"/>
        <v>3150</v>
      </c>
      <c r="X129" s="85" t="s">
        <v>230</v>
      </c>
      <c r="Y129" s="86"/>
      <c r="Z129" s="86"/>
    </row>
    <row r="130" spans="1:26" s="55" customFormat="1" ht="17.25" hidden="1" customHeight="1">
      <c r="A130" s="83"/>
      <c r="B130" s="81" t="s">
        <v>231</v>
      </c>
      <c r="C130" s="82" t="s">
        <v>16</v>
      </c>
      <c r="D130" s="82"/>
      <c r="E130" s="82"/>
      <c r="F130" s="82">
        <v>11200</v>
      </c>
      <c r="G130" s="82"/>
      <c r="H130" s="83"/>
      <c r="I130" s="82">
        <v>80</v>
      </c>
      <c r="J130" s="83">
        <v>97</v>
      </c>
      <c r="K130" s="82">
        <v>400</v>
      </c>
      <c r="L130" s="82"/>
      <c r="M130" s="83">
        <v>39</v>
      </c>
      <c r="N130" s="82"/>
      <c r="O130" s="82">
        <v>2</v>
      </c>
      <c r="P130" s="83">
        <v>50</v>
      </c>
      <c r="Q130" s="83">
        <f t="shared" si="28"/>
        <v>668</v>
      </c>
      <c r="R130" s="83"/>
      <c r="S130" s="83">
        <f t="shared" si="29"/>
        <v>11868</v>
      </c>
      <c r="T130" s="83">
        <v>12900</v>
      </c>
      <c r="U130" s="82">
        <v>12465</v>
      </c>
      <c r="V130" s="83">
        <f t="shared" si="30"/>
        <v>597</v>
      </c>
      <c r="W130" s="84">
        <f t="shared" si="27"/>
        <v>1700</v>
      </c>
      <c r="X130" s="85" t="s">
        <v>16</v>
      </c>
      <c r="Y130" s="86"/>
      <c r="Z130" s="86"/>
    </row>
    <row r="131" spans="1:26" s="55" customFormat="1" ht="17.25" hidden="1" customHeight="1">
      <c r="A131" s="83"/>
      <c r="B131" s="81" t="s">
        <v>232</v>
      </c>
      <c r="C131" s="82" t="s">
        <v>167</v>
      </c>
      <c r="D131" s="82" t="s">
        <v>233</v>
      </c>
      <c r="E131" s="82"/>
      <c r="F131" s="82">
        <v>8700</v>
      </c>
      <c r="G131" s="82"/>
      <c r="H131" s="83"/>
      <c r="I131" s="82"/>
      <c r="J131" s="83">
        <v>210</v>
      </c>
      <c r="K131" s="82"/>
      <c r="L131" s="82"/>
      <c r="M131" s="83">
        <v>257</v>
      </c>
      <c r="N131" s="82"/>
      <c r="O131" s="82">
        <v>5</v>
      </c>
      <c r="P131" s="83">
        <v>65</v>
      </c>
      <c r="Q131" s="83">
        <f t="shared" si="28"/>
        <v>537</v>
      </c>
      <c r="R131" s="83"/>
      <c r="S131" s="83">
        <f t="shared" si="29"/>
        <v>9237</v>
      </c>
      <c r="T131" s="83">
        <v>11500</v>
      </c>
      <c r="U131" s="82">
        <v>9900</v>
      </c>
      <c r="V131" s="83">
        <f t="shared" si="30"/>
        <v>663</v>
      </c>
      <c r="W131" s="84">
        <f t="shared" si="27"/>
        <v>2800</v>
      </c>
      <c r="X131" s="85" t="s">
        <v>234</v>
      </c>
      <c r="Y131" s="86"/>
      <c r="Z131" s="86"/>
    </row>
    <row r="132" spans="1:26" s="55" customFormat="1" ht="17.25" hidden="1" customHeight="1">
      <c r="A132" s="83"/>
      <c r="B132" s="81" t="s">
        <v>235</v>
      </c>
      <c r="C132" s="82" t="s">
        <v>167</v>
      </c>
      <c r="D132" s="82"/>
      <c r="E132" s="82"/>
      <c r="F132" s="82">
        <v>9000</v>
      </c>
      <c r="G132" s="82">
        <v>197</v>
      </c>
      <c r="H132" s="83">
        <v>32.5</v>
      </c>
      <c r="I132" s="82">
        <v>170</v>
      </c>
      <c r="J132" s="83">
        <v>175</v>
      </c>
      <c r="K132" s="82">
        <v>400</v>
      </c>
      <c r="L132" s="82">
        <v>3</v>
      </c>
      <c r="M132" s="83">
        <v>313</v>
      </c>
      <c r="N132" s="82"/>
      <c r="O132" s="82">
        <v>50</v>
      </c>
      <c r="P132" s="83">
        <v>130</v>
      </c>
      <c r="Q132" s="83">
        <f t="shared" si="28"/>
        <v>1470.5</v>
      </c>
      <c r="R132" s="83"/>
      <c r="S132" s="83">
        <f t="shared" si="29"/>
        <v>10470.5</v>
      </c>
      <c r="T132" s="83">
        <v>12300</v>
      </c>
      <c r="U132" s="82">
        <v>11940</v>
      </c>
      <c r="V132" s="83">
        <f t="shared" si="30"/>
        <v>1469.5</v>
      </c>
      <c r="W132" s="84">
        <f t="shared" si="27"/>
        <v>3300</v>
      </c>
      <c r="X132" s="85"/>
      <c r="Y132" s="86"/>
      <c r="Z132" s="86"/>
    </row>
    <row r="133" spans="1:26" s="60" customFormat="1" ht="17.25" hidden="1" customHeight="1">
      <c r="A133" s="83">
        <v>36</v>
      </c>
      <c r="B133" s="125" t="s">
        <v>236</v>
      </c>
      <c r="C133" s="83" t="s">
        <v>120</v>
      </c>
      <c r="D133" s="83"/>
      <c r="E133" s="83"/>
      <c r="F133" s="83">
        <v>13000</v>
      </c>
      <c r="G133" s="83">
        <v>50</v>
      </c>
      <c r="H133" s="83"/>
      <c r="I133" s="83"/>
      <c r="J133" s="83">
        <v>288</v>
      </c>
      <c r="K133" s="83"/>
      <c r="L133" s="83"/>
      <c r="M133" s="83">
        <v>369</v>
      </c>
      <c r="N133" s="83"/>
      <c r="O133" s="83">
        <v>5</v>
      </c>
      <c r="P133" s="83">
        <v>110</v>
      </c>
      <c r="Q133" s="83">
        <f t="shared" si="28"/>
        <v>822</v>
      </c>
      <c r="R133" s="83"/>
      <c r="S133" s="83">
        <f t="shared" si="29"/>
        <v>13822</v>
      </c>
      <c r="T133" s="83">
        <v>17000</v>
      </c>
      <c r="U133" s="83">
        <v>14450</v>
      </c>
      <c r="V133" s="83">
        <f t="shared" si="30"/>
        <v>628</v>
      </c>
      <c r="W133" s="84">
        <f t="shared" si="27"/>
        <v>4000</v>
      </c>
      <c r="X133" s="119"/>
      <c r="Y133" s="120"/>
      <c r="Z133" s="120"/>
    </row>
    <row r="134" spans="1:26" s="55" customFormat="1" ht="17.25" hidden="1" customHeight="1">
      <c r="A134" s="81">
        <v>29</v>
      </c>
      <c r="B134" s="81" t="s">
        <v>237</v>
      </c>
      <c r="C134" s="82" t="s">
        <v>167</v>
      </c>
      <c r="D134" s="82" t="s">
        <v>238</v>
      </c>
      <c r="E134" s="82"/>
      <c r="F134" s="82">
        <v>9950</v>
      </c>
      <c r="G134" s="82"/>
      <c r="H134" s="83">
        <v>25</v>
      </c>
      <c r="I134" s="82">
        <v>160</v>
      </c>
      <c r="J134" s="83">
        <v>428.3</v>
      </c>
      <c r="K134" s="82"/>
      <c r="L134" s="82"/>
      <c r="M134" s="83">
        <v>114</v>
      </c>
      <c r="N134" s="82"/>
      <c r="O134" s="82"/>
      <c r="P134" s="83">
        <v>150</v>
      </c>
      <c r="Q134" s="83">
        <f t="shared" si="28"/>
        <v>877.3</v>
      </c>
      <c r="R134" s="83"/>
      <c r="S134" s="83">
        <f t="shared" si="29"/>
        <v>10827.3</v>
      </c>
      <c r="T134" s="83">
        <v>13500</v>
      </c>
      <c r="U134" s="82">
        <v>12100</v>
      </c>
      <c r="V134" s="83">
        <f t="shared" si="30"/>
        <v>1272.7000000000007</v>
      </c>
      <c r="W134" s="84">
        <f t="shared" si="27"/>
        <v>3550</v>
      </c>
      <c r="X134" s="85"/>
      <c r="Y134" s="86"/>
      <c r="Z134" s="86"/>
    </row>
    <row r="135" spans="1:26" s="56" customFormat="1" ht="17.25" hidden="1" customHeight="1">
      <c r="A135" s="87">
        <v>32</v>
      </c>
      <c r="B135" s="87" t="s">
        <v>143</v>
      </c>
      <c r="C135" s="88" t="s">
        <v>77</v>
      </c>
      <c r="D135" s="88" t="s">
        <v>239</v>
      </c>
      <c r="E135" s="88"/>
      <c r="F135" s="88">
        <v>13900</v>
      </c>
      <c r="G135" s="88"/>
      <c r="H135" s="89"/>
      <c r="I135" s="88">
        <v>20</v>
      </c>
      <c r="J135" s="89">
        <v>267</v>
      </c>
      <c r="K135" s="88">
        <v>402</v>
      </c>
      <c r="L135" s="88"/>
      <c r="M135" s="89">
        <v>329</v>
      </c>
      <c r="N135" s="88"/>
      <c r="O135" s="88">
        <v>9</v>
      </c>
      <c r="P135" s="89">
        <v>50</v>
      </c>
      <c r="Q135" s="89">
        <f t="shared" si="28"/>
        <v>1077</v>
      </c>
      <c r="R135" s="89"/>
      <c r="S135" s="89">
        <f t="shared" si="29"/>
        <v>14977</v>
      </c>
      <c r="T135" s="89"/>
      <c r="U135" s="88">
        <v>15450</v>
      </c>
      <c r="V135" s="89">
        <f t="shared" si="30"/>
        <v>473</v>
      </c>
      <c r="W135" s="73">
        <f t="shared" si="27"/>
        <v>-13900</v>
      </c>
      <c r="X135" s="90"/>
      <c r="Y135" s="91"/>
      <c r="Z135" s="91"/>
    </row>
    <row r="136" spans="1:26" s="56" customFormat="1" ht="16.5" hidden="1" customHeight="1">
      <c r="A136" s="87">
        <v>33</v>
      </c>
      <c r="B136" s="87" t="s">
        <v>240</v>
      </c>
      <c r="C136" s="88" t="s">
        <v>120</v>
      </c>
      <c r="D136" s="88"/>
      <c r="E136" s="88"/>
      <c r="F136" s="88">
        <v>13700</v>
      </c>
      <c r="G136" s="88"/>
      <c r="H136" s="89"/>
      <c r="I136" s="88">
        <v>20</v>
      </c>
      <c r="J136" s="89">
        <v>260</v>
      </c>
      <c r="K136" s="88">
        <v>402</v>
      </c>
      <c r="L136" s="88"/>
      <c r="M136" s="89">
        <v>323</v>
      </c>
      <c r="N136" s="88"/>
      <c r="O136" s="88">
        <v>5</v>
      </c>
      <c r="P136" s="89">
        <v>50</v>
      </c>
      <c r="Q136" s="89">
        <f t="shared" si="28"/>
        <v>1060</v>
      </c>
      <c r="R136" s="89"/>
      <c r="S136" s="89">
        <f t="shared" si="29"/>
        <v>14760</v>
      </c>
      <c r="T136" s="89">
        <v>14250</v>
      </c>
      <c r="U136" s="88">
        <v>15275</v>
      </c>
      <c r="V136" s="89">
        <f t="shared" si="30"/>
        <v>515</v>
      </c>
      <c r="W136" s="73">
        <f t="shared" si="27"/>
        <v>550</v>
      </c>
      <c r="X136" s="90"/>
      <c r="Y136" s="91"/>
      <c r="Z136" s="91"/>
    </row>
    <row r="137" spans="1:26" s="56" customFormat="1" ht="17.25" hidden="1" customHeight="1">
      <c r="A137" s="87">
        <v>34</v>
      </c>
      <c r="B137" s="87" t="s">
        <v>241</v>
      </c>
      <c r="C137" s="88" t="s">
        <v>120</v>
      </c>
      <c r="D137" s="88"/>
      <c r="E137" s="88"/>
      <c r="F137" s="88">
        <v>13000</v>
      </c>
      <c r="G137" s="88"/>
      <c r="H137" s="89"/>
      <c r="I137" s="88"/>
      <c r="J137" s="89"/>
      <c r="K137" s="88"/>
      <c r="L137" s="88"/>
      <c r="M137" s="89"/>
      <c r="N137" s="88"/>
      <c r="O137" s="88">
        <v>8</v>
      </c>
      <c r="P137" s="89">
        <v>50</v>
      </c>
      <c r="Q137" s="89">
        <f t="shared" si="28"/>
        <v>58</v>
      </c>
      <c r="R137" s="89"/>
      <c r="S137" s="89">
        <f t="shared" si="29"/>
        <v>13058</v>
      </c>
      <c r="T137" s="89"/>
      <c r="U137" s="88">
        <v>13500</v>
      </c>
      <c r="V137" s="89">
        <f t="shared" si="30"/>
        <v>442</v>
      </c>
      <c r="W137" s="73">
        <f t="shared" si="27"/>
        <v>-13000</v>
      </c>
      <c r="X137" s="90"/>
      <c r="Y137" s="91"/>
      <c r="Z137" s="91"/>
    </row>
    <row r="138" spans="1:26" s="54" customFormat="1" ht="17.25" hidden="1" customHeight="1">
      <c r="A138" s="74">
        <v>26</v>
      </c>
      <c r="B138" s="75" t="s">
        <v>242</v>
      </c>
      <c r="C138" s="76" t="s">
        <v>77</v>
      </c>
      <c r="D138" s="76"/>
      <c r="E138" s="76"/>
      <c r="F138" s="76">
        <v>12000</v>
      </c>
      <c r="G138" s="76"/>
      <c r="H138" s="74"/>
      <c r="I138" s="76">
        <v>35</v>
      </c>
      <c r="J138" s="74"/>
      <c r="K138" s="76"/>
      <c r="L138" s="76"/>
      <c r="M138" s="74"/>
      <c r="N138" s="76">
        <v>10</v>
      </c>
      <c r="O138" s="76">
        <v>5</v>
      </c>
      <c r="P138" s="77"/>
      <c r="Q138" s="74">
        <f t="shared" si="28"/>
        <v>50</v>
      </c>
      <c r="R138" s="74"/>
      <c r="S138" s="74">
        <f t="shared" si="29"/>
        <v>12050</v>
      </c>
      <c r="T138" s="74">
        <v>0</v>
      </c>
      <c r="U138" s="76"/>
      <c r="V138" s="74">
        <f t="shared" si="30"/>
        <v>-12050</v>
      </c>
      <c r="W138" s="78">
        <f t="shared" si="27"/>
        <v>-12000</v>
      </c>
      <c r="X138" s="79"/>
      <c r="Y138" s="80"/>
      <c r="Z138" s="80"/>
    </row>
    <row r="139" spans="1:26" ht="27.75" customHeight="1">
      <c r="A139" s="194"/>
      <c r="B139" s="194"/>
      <c r="C139" s="194"/>
      <c r="D139" s="194"/>
      <c r="E139" s="126"/>
      <c r="F139" s="126">
        <f>SUM(F2:F138)</f>
        <v>1560751</v>
      </c>
      <c r="G139" s="126">
        <f>SUM(G2:G2)</f>
        <v>0</v>
      </c>
      <c r="H139" s="126">
        <f>SUM(H2:H2)</f>
        <v>30</v>
      </c>
      <c r="I139" s="126">
        <f>SUM(I2:I2)</f>
        <v>135</v>
      </c>
      <c r="J139" s="126">
        <f>SUM(J2:J2)</f>
        <v>178</v>
      </c>
      <c r="K139" s="126"/>
      <c r="L139" s="126" t="e">
        <f>SUM(#REF!)</f>
        <v>#REF!</v>
      </c>
      <c r="M139" s="126">
        <f>SUM(M2:M2)</f>
        <v>39</v>
      </c>
      <c r="N139" s="126">
        <f>SUM(N2:N2)</f>
        <v>0</v>
      </c>
      <c r="O139" s="126">
        <f>SUM(O2:O138)</f>
        <v>3825.5</v>
      </c>
      <c r="P139" s="126">
        <f>SUM(P2:P2)</f>
        <v>25</v>
      </c>
      <c r="Q139" s="126">
        <f>SUM(Q2:Q138)</f>
        <v>83098.350000000006</v>
      </c>
      <c r="R139" s="126"/>
      <c r="S139" s="126">
        <f>SUM(S2:S138)</f>
        <v>1643849.35</v>
      </c>
      <c r="T139" s="126"/>
      <c r="U139" s="126">
        <f>SUM(U2:U2)</f>
        <v>12280</v>
      </c>
      <c r="V139" s="126">
        <f>SUM(V2:V2)</f>
        <v>840.5</v>
      </c>
      <c r="W139" s="78">
        <f t="shared" si="27"/>
        <v>-1560751</v>
      </c>
      <c r="X139" s="65"/>
      <c r="Y139" s="66"/>
      <c r="Z139" s="66"/>
    </row>
  </sheetData>
  <mergeCells count="1">
    <mergeCell ref="A139:D139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rightToLeft="1" view="pageLayout" topLeftCell="A19" zoomScale="85" zoomScaleNormal="100" zoomScalePageLayoutView="85" workbookViewId="0">
      <selection activeCell="E9" sqref="E9"/>
    </sheetView>
  </sheetViews>
  <sheetFormatPr defaultColWidth="9" defaultRowHeight="14.25"/>
  <cols>
    <col min="1" max="1" width="16.875" customWidth="1"/>
    <col min="2" max="2" width="7.125" customWidth="1"/>
    <col min="3" max="3" width="13.75" customWidth="1"/>
    <col min="4" max="4" width="14.125" customWidth="1"/>
    <col min="5" max="5" width="16.875" customWidth="1"/>
  </cols>
  <sheetData>
    <row r="1" spans="1:13" ht="23.25" customHeight="1">
      <c r="A1" s="168" t="s">
        <v>243</v>
      </c>
      <c r="B1" s="169"/>
      <c r="C1" s="169"/>
      <c r="D1" s="169"/>
      <c r="E1" s="169"/>
    </row>
    <row r="2" spans="1:13" ht="24" customHeight="1">
      <c r="A2" s="39" t="s">
        <v>5</v>
      </c>
      <c r="B2" s="170" t="s">
        <v>6</v>
      </c>
      <c r="C2" s="171"/>
      <c r="D2" s="172"/>
      <c r="E2" s="39" t="s">
        <v>7</v>
      </c>
    </row>
    <row r="3" spans="1:13">
      <c r="A3" s="46">
        <v>9.1999999999999993</v>
      </c>
      <c r="B3" s="195" t="s">
        <v>325</v>
      </c>
      <c r="C3" s="196"/>
      <c r="D3" s="197"/>
      <c r="E3" s="47">
        <v>46028</v>
      </c>
      <c r="J3" t="s">
        <v>244</v>
      </c>
    </row>
    <row r="4" spans="1:13">
      <c r="A4" s="46">
        <v>23</v>
      </c>
      <c r="B4" s="195" t="s">
        <v>326</v>
      </c>
      <c r="C4" s="196"/>
      <c r="D4" s="197"/>
      <c r="E4" s="47">
        <v>46028</v>
      </c>
    </row>
    <row r="5" spans="1:13">
      <c r="A5" s="46">
        <v>3500</v>
      </c>
      <c r="B5" s="195" t="s">
        <v>335</v>
      </c>
      <c r="C5" s="196"/>
      <c r="D5" s="197"/>
      <c r="E5" s="47">
        <v>46028</v>
      </c>
    </row>
    <row r="6" spans="1:13">
      <c r="A6" s="46">
        <v>18.55</v>
      </c>
      <c r="B6" s="195" t="s">
        <v>349</v>
      </c>
      <c r="C6" s="196"/>
      <c r="D6" s="197"/>
      <c r="E6" s="47">
        <v>46118</v>
      </c>
    </row>
    <row r="7" spans="1:13">
      <c r="A7" s="46">
        <v>180.8</v>
      </c>
      <c r="B7" s="195" t="s">
        <v>350</v>
      </c>
      <c r="C7" s="196"/>
      <c r="D7" s="197"/>
      <c r="E7" s="47">
        <v>46118</v>
      </c>
    </row>
    <row r="8" spans="1:13">
      <c r="A8" s="46">
        <v>250</v>
      </c>
      <c r="B8" s="195" t="s">
        <v>352</v>
      </c>
      <c r="C8" s="196"/>
      <c r="D8" s="197"/>
      <c r="E8" s="47">
        <v>46209</v>
      </c>
    </row>
    <row r="9" spans="1:13">
      <c r="A9" s="46"/>
      <c r="B9" s="195"/>
      <c r="C9" s="196"/>
      <c r="D9" s="197"/>
      <c r="E9" s="47"/>
    </row>
    <row r="10" spans="1:13" ht="14.25" customHeight="1">
      <c r="A10" s="46"/>
      <c r="B10" s="195"/>
      <c r="C10" s="196"/>
      <c r="D10" s="197"/>
      <c r="E10" s="47"/>
      <c r="J10" s="48" t="s">
        <v>16</v>
      </c>
      <c r="K10" s="198"/>
      <c r="L10" s="198"/>
      <c r="M10" s="198"/>
    </row>
    <row r="11" spans="1:13" ht="14.25" customHeight="1">
      <c r="A11" s="46"/>
      <c r="B11" s="195"/>
      <c r="C11" s="196"/>
      <c r="D11" s="197"/>
      <c r="E11" s="47"/>
      <c r="J11" s="199"/>
      <c r="K11" s="198"/>
      <c r="L11" s="198"/>
      <c r="M11" s="198"/>
    </row>
    <row r="12" spans="1:13" ht="14.25" customHeight="1">
      <c r="A12" s="46"/>
      <c r="B12" s="195"/>
      <c r="C12" s="196"/>
      <c r="D12" s="197"/>
      <c r="E12" s="47"/>
      <c r="J12" s="48"/>
      <c r="K12" s="198"/>
      <c r="L12" s="198"/>
      <c r="M12" s="198"/>
    </row>
    <row r="13" spans="1:13" ht="14.25" customHeight="1">
      <c r="A13" s="46"/>
      <c r="B13" s="195"/>
      <c r="C13" s="196"/>
      <c r="D13" s="197"/>
      <c r="E13" s="47"/>
      <c r="J13" s="48"/>
      <c r="K13" s="198"/>
      <c r="L13" s="198"/>
      <c r="M13" s="198"/>
    </row>
    <row r="14" spans="1:13" ht="14.25" customHeight="1">
      <c r="A14" s="46"/>
      <c r="B14" s="195"/>
      <c r="C14" s="196"/>
      <c r="D14" s="197"/>
      <c r="E14" s="47"/>
      <c r="J14" s="48"/>
      <c r="K14" s="199"/>
      <c r="L14" s="198"/>
      <c r="M14" s="198"/>
    </row>
    <row r="15" spans="1:13">
      <c r="A15" s="46"/>
      <c r="B15" s="195"/>
      <c r="C15" s="196"/>
      <c r="D15" s="197"/>
      <c r="E15" s="47"/>
      <c r="J15" s="48"/>
      <c r="K15" s="199"/>
      <c r="L15" s="198"/>
      <c r="M15" s="198"/>
    </row>
    <row r="16" spans="1:13">
      <c r="A16" s="46"/>
      <c r="B16" s="195"/>
      <c r="C16" s="196"/>
      <c r="D16" s="197"/>
      <c r="E16" s="47"/>
      <c r="J16" s="48"/>
      <c r="K16" s="199"/>
      <c r="L16" s="198"/>
      <c r="M16" s="198"/>
    </row>
    <row r="17" spans="1:15">
      <c r="A17" s="46"/>
      <c r="B17" s="195"/>
      <c r="C17" s="196"/>
      <c r="D17" s="197"/>
      <c r="E17" s="47"/>
      <c r="J17" s="48"/>
      <c r="K17" s="199"/>
      <c r="L17" s="198"/>
      <c r="M17" s="198"/>
    </row>
    <row r="18" spans="1:15">
      <c r="A18" s="46"/>
      <c r="B18" s="195"/>
      <c r="C18" s="196"/>
      <c r="D18" s="197"/>
      <c r="E18" s="47"/>
      <c r="J18" s="48"/>
      <c r="K18" s="198"/>
      <c r="L18" s="198"/>
      <c r="M18" s="198"/>
    </row>
    <row r="19" spans="1:15">
      <c r="A19" s="46"/>
      <c r="B19" s="195"/>
      <c r="C19" s="196"/>
      <c r="D19" s="197"/>
      <c r="E19" s="47"/>
      <c r="J19" s="48"/>
      <c r="K19" s="198"/>
      <c r="L19" s="198"/>
      <c r="M19" s="198"/>
    </row>
    <row r="20" spans="1:15">
      <c r="A20" s="46"/>
      <c r="B20" s="195"/>
      <c r="C20" s="196"/>
      <c r="D20" s="197"/>
      <c r="E20" s="47"/>
      <c r="K20" s="200"/>
      <c r="L20" s="200"/>
      <c r="M20" s="200"/>
    </row>
    <row r="21" spans="1:15">
      <c r="A21" s="46"/>
      <c r="B21" s="195"/>
      <c r="C21" s="196"/>
      <c r="D21" s="197"/>
      <c r="E21" s="47"/>
      <c r="K21" s="201"/>
      <c r="L21" s="201"/>
      <c r="M21" s="201"/>
    </row>
    <row r="22" spans="1:15">
      <c r="A22" s="46"/>
      <c r="B22" s="195"/>
      <c r="C22" s="196"/>
      <c r="D22" s="197"/>
      <c r="E22" s="47"/>
      <c r="J22" t="s">
        <v>245</v>
      </c>
      <c r="K22" s="201"/>
      <c r="L22" s="201"/>
      <c r="M22" s="201"/>
    </row>
    <row r="23" spans="1:15">
      <c r="A23" s="46"/>
      <c r="B23" s="195"/>
      <c r="C23" s="196"/>
      <c r="D23" s="197"/>
      <c r="E23" s="47"/>
      <c r="K23" s="201"/>
      <c r="L23" s="201"/>
      <c r="M23" s="201"/>
    </row>
    <row r="24" spans="1:15">
      <c r="A24" s="46"/>
      <c r="B24" s="195"/>
      <c r="C24" s="196"/>
      <c r="D24" s="197"/>
      <c r="E24" s="47"/>
      <c r="K24" s="200"/>
      <c r="L24" s="201"/>
      <c r="M24" s="201"/>
    </row>
    <row r="25" spans="1:15">
      <c r="A25" s="46"/>
      <c r="B25" s="195"/>
      <c r="C25" s="196"/>
      <c r="D25" s="197"/>
      <c r="E25" s="47"/>
      <c r="K25" s="201"/>
      <c r="L25" s="201"/>
      <c r="M25" s="201"/>
    </row>
    <row r="26" spans="1:15">
      <c r="A26" s="46">
        <v>400</v>
      </c>
      <c r="B26" s="195"/>
      <c r="C26" s="196"/>
      <c r="D26" s="197"/>
      <c r="E26" s="47"/>
      <c r="K26" s="201"/>
      <c r="L26" s="201"/>
      <c r="M26" s="201"/>
    </row>
    <row r="27" spans="1:15">
      <c r="A27" s="46">
        <v>300</v>
      </c>
      <c r="B27" s="195"/>
      <c r="C27" s="196"/>
      <c r="D27" s="197"/>
      <c r="E27" s="47"/>
      <c r="K27" s="201"/>
      <c r="L27" s="201"/>
      <c r="M27" s="201"/>
    </row>
    <row r="28" spans="1:15">
      <c r="A28" s="46">
        <v>200</v>
      </c>
      <c r="B28" s="195"/>
      <c r="C28" s="196"/>
      <c r="D28" s="197"/>
      <c r="E28" s="47"/>
      <c r="K28" s="201"/>
      <c r="L28" s="201"/>
      <c r="M28" s="201"/>
    </row>
    <row r="29" spans="1:15" s="45" customFormat="1">
      <c r="A29" s="46">
        <v>200</v>
      </c>
      <c r="B29" s="195"/>
      <c r="C29" s="196"/>
      <c r="D29" s="197"/>
      <c r="E29" s="47"/>
      <c r="I29"/>
      <c r="J29"/>
      <c r="K29" s="201"/>
      <c r="L29" s="201"/>
      <c r="M29" s="201"/>
      <c r="N29"/>
      <c r="O29"/>
    </row>
    <row r="30" spans="1:15">
      <c r="A30" s="46">
        <v>200</v>
      </c>
      <c r="B30" s="195"/>
      <c r="C30" s="196"/>
      <c r="D30" s="197"/>
      <c r="E30" s="47"/>
      <c r="K30" s="201"/>
      <c r="L30" s="201"/>
      <c r="M30" s="201"/>
    </row>
    <row r="31" spans="1:15">
      <c r="A31" s="46">
        <v>200</v>
      </c>
      <c r="B31" s="195"/>
      <c r="C31" s="196"/>
      <c r="D31" s="197"/>
      <c r="E31" s="47"/>
      <c r="K31" s="201"/>
      <c r="L31" s="201"/>
      <c r="M31" s="201"/>
    </row>
    <row r="32" spans="1:15">
      <c r="A32" s="46"/>
      <c r="B32" s="195"/>
      <c r="C32" s="196"/>
      <c r="D32" s="197"/>
      <c r="E32" s="47"/>
      <c r="I32" s="45"/>
      <c r="J32" s="45"/>
      <c r="K32" s="201"/>
      <c r="L32" s="201"/>
      <c r="M32" s="201"/>
      <c r="O32" s="45"/>
    </row>
    <row r="33" spans="1:16">
      <c r="A33" s="49"/>
      <c r="B33" s="202"/>
      <c r="C33" s="203"/>
      <c r="D33" s="204"/>
      <c r="E33" s="50"/>
      <c r="K33" s="201"/>
      <c r="L33" s="201"/>
      <c r="M33" s="201"/>
    </row>
    <row r="34" spans="1:16">
      <c r="A34" s="51">
        <f>SUM(A3:A33)</f>
        <v>5481.55</v>
      </c>
      <c r="B34" s="177" t="s">
        <v>8</v>
      </c>
      <c r="C34" s="178"/>
      <c r="D34" s="179"/>
      <c r="E34" s="44"/>
      <c r="J34" t="s">
        <v>246</v>
      </c>
      <c r="K34" s="201"/>
      <c r="L34" s="201"/>
      <c r="M34" s="201"/>
    </row>
    <row r="35" spans="1:16">
      <c r="K35" s="201"/>
      <c r="L35" s="201"/>
      <c r="M35" s="201"/>
    </row>
    <row r="36" spans="1:16">
      <c r="K36" s="201"/>
      <c r="L36" s="201"/>
      <c r="M36" s="201"/>
    </row>
    <row r="37" spans="1:16">
      <c r="K37" s="201"/>
      <c r="L37" s="201"/>
      <c r="M37" s="201"/>
    </row>
    <row r="38" spans="1:16">
      <c r="K38" s="201"/>
      <c r="L38" s="201"/>
      <c r="M38" s="201"/>
    </row>
    <row r="39" spans="1:16">
      <c r="K39" s="201"/>
      <c r="L39" s="201"/>
      <c r="M39" s="201"/>
    </row>
    <row r="40" spans="1:16">
      <c r="A40" s="148" t="s">
        <v>298</v>
      </c>
      <c r="B40" s="148"/>
      <c r="D40" s="148">
        <v>380</v>
      </c>
      <c r="K40" s="201"/>
      <c r="L40" s="201"/>
      <c r="M40" s="201"/>
    </row>
    <row r="41" spans="1:16">
      <c r="A41" s="148" t="s">
        <v>245</v>
      </c>
      <c r="B41" s="148"/>
      <c r="D41" s="148">
        <v>520</v>
      </c>
      <c r="K41" s="201"/>
      <c r="L41" s="201"/>
      <c r="M41" s="201"/>
      <c r="O41" s="26"/>
      <c r="P41" s="26" t="s">
        <v>247</v>
      </c>
    </row>
    <row r="42" spans="1:16">
      <c r="A42" s="150" t="s">
        <v>299</v>
      </c>
      <c r="B42" s="148"/>
      <c r="D42" s="148"/>
      <c r="K42" s="201"/>
      <c r="L42" s="201"/>
      <c r="M42" s="201"/>
    </row>
    <row r="43" spans="1:16">
      <c r="A43" s="148" t="s">
        <v>300</v>
      </c>
      <c r="B43" s="148"/>
      <c r="D43" s="148">
        <v>400</v>
      </c>
      <c r="K43" s="201"/>
      <c r="L43" s="201"/>
      <c r="M43" s="201"/>
    </row>
    <row r="44" spans="1:16">
      <c r="A44" s="148" t="s">
        <v>319</v>
      </c>
      <c r="K44" s="201"/>
      <c r="L44" s="201"/>
      <c r="M44" s="201"/>
    </row>
    <row r="45" spans="1:16">
      <c r="K45" s="201"/>
      <c r="L45" s="201"/>
      <c r="M45" s="201"/>
    </row>
    <row r="46" spans="1:16">
      <c r="K46" s="201"/>
      <c r="L46" s="201"/>
      <c r="M46" s="201"/>
    </row>
    <row r="47" spans="1:16">
      <c r="K47" s="201"/>
      <c r="L47" s="201"/>
      <c r="M47" s="201"/>
    </row>
    <row r="48" spans="1:16">
      <c r="K48" s="201"/>
      <c r="L48" s="201"/>
      <c r="M48" s="201"/>
    </row>
    <row r="49" spans="11:13">
      <c r="K49" s="201"/>
      <c r="L49" s="201"/>
      <c r="M49" s="201"/>
    </row>
    <row r="50" spans="11:13">
      <c r="K50" s="201"/>
      <c r="L50" s="201"/>
      <c r="M50" s="201"/>
    </row>
    <row r="51" spans="11:13">
      <c r="K51" s="201"/>
      <c r="L51" s="201"/>
      <c r="M51" s="201"/>
    </row>
    <row r="52" spans="11:13">
      <c r="K52" s="201"/>
      <c r="L52" s="201"/>
      <c r="M52" s="201"/>
    </row>
    <row r="53" spans="11:13">
      <c r="K53" s="201"/>
      <c r="L53" s="201"/>
      <c r="M53" s="201"/>
    </row>
  </sheetData>
  <mergeCells count="78">
    <mergeCell ref="K53:M53"/>
    <mergeCell ref="K48:M48"/>
    <mergeCell ref="K49:M49"/>
    <mergeCell ref="K50:M50"/>
    <mergeCell ref="K51:M51"/>
    <mergeCell ref="K52:M52"/>
    <mergeCell ref="K43:M43"/>
    <mergeCell ref="K44:M44"/>
    <mergeCell ref="K45:M45"/>
    <mergeCell ref="K46:M46"/>
    <mergeCell ref="K47:M47"/>
    <mergeCell ref="K38:M38"/>
    <mergeCell ref="K39:M39"/>
    <mergeCell ref="K40:M40"/>
    <mergeCell ref="K41:M41"/>
    <mergeCell ref="K42:M42"/>
    <mergeCell ref="B34:D34"/>
    <mergeCell ref="K34:M34"/>
    <mergeCell ref="K35:M35"/>
    <mergeCell ref="K36:M36"/>
    <mergeCell ref="K37:M37"/>
    <mergeCell ref="B31:D31"/>
    <mergeCell ref="K31:M31"/>
    <mergeCell ref="B32:D32"/>
    <mergeCell ref="K32:M32"/>
    <mergeCell ref="B33:D33"/>
    <mergeCell ref="K33:M33"/>
    <mergeCell ref="B28:D28"/>
    <mergeCell ref="K28:M28"/>
    <mergeCell ref="B29:D29"/>
    <mergeCell ref="K29:M29"/>
    <mergeCell ref="B30:D30"/>
    <mergeCell ref="K30:M30"/>
    <mergeCell ref="B25:D25"/>
    <mergeCell ref="K25:M25"/>
    <mergeCell ref="B26:D26"/>
    <mergeCell ref="K26:M26"/>
    <mergeCell ref="B27:D27"/>
    <mergeCell ref="K27:M27"/>
    <mergeCell ref="B22:D22"/>
    <mergeCell ref="K22:M22"/>
    <mergeCell ref="B23:D23"/>
    <mergeCell ref="K23:M23"/>
    <mergeCell ref="B24:D24"/>
    <mergeCell ref="K24:M24"/>
    <mergeCell ref="B19:D19"/>
    <mergeCell ref="K19:M19"/>
    <mergeCell ref="B20:D20"/>
    <mergeCell ref="K20:M20"/>
    <mergeCell ref="B21:D21"/>
    <mergeCell ref="K21:M21"/>
    <mergeCell ref="B16:D16"/>
    <mergeCell ref="K16:M16"/>
    <mergeCell ref="B17:D17"/>
    <mergeCell ref="K17:M17"/>
    <mergeCell ref="B18:D18"/>
    <mergeCell ref="K18:M18"/>
    <mergeCell ref="B13:D13"/>
    <mergeCell ref="K13:M13"/>
    <mergeCell ref="B14:D14"/>
    <mergeCell ref="K14:M14"/>
    <mergeCell ref="B15:D15"/>
    <mergeCell ref="K15:M15"/>
    <mergeCell ref="K10:M10"/>
    <mergeCell ref="B11:D11"/>
    <mergeCell ref="J11:M11"/>
    <mergeCell ref="B12:D12"/>
    <mergeCell ref="K12:M12"/>
    <mergeCell ref="B6:D6"/>
    <mergeCell ref="B7:D7"/>
    <mergeCell ref="B8:D8"/>
    <mergeCell ref="B9:D9"/>
    <mergeCell ref="B10:D10"/>
    <mergeCell ref="A1:E1"/>
    <mergeCell ref="B2:D2"/>
    <mergeCell ref="B3:D3"/>
    <mergeCell ref="B4:D4"/>
    <mergeCell ref="B5:D5"/>
  </mergeCells>
  <pageMargins left="0.69852941176470595" right="0.7" top="1.3149999999999999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3" sqref="A3"/>
    </sheetView>
  </sheetViews>
  <sheetFormatPr defaultColWidth="9" defaultRowHeight="14.25"/>
  <cols>
    <col min="1" max="1" width="16.875" customWidth="1"/>
    <col min="2" max="2" width="7.125" customWidth="1"/>
    <col min="3" max="3" width="13.75" customWidth="1"/>
    <col min="4" max="4" width="14.125" customWidth="1"/>
    <col min="5" max="5" width="117.25" customWidth="1"/>
  </cols>
  <sheetData>
    <row r="1" spans="1:5" ht="23.25" customHeight="1">
      <c r="A1" s="168" t="s">
        <v>248</v>
      </c>
      <c r="B1" s="169"/>
      <c r="C1" s="169"/>
      <c r="D1" s="169"/>
      <c r="E1" s="169"/>
    </row>
    <row r="2" spans="1:5" ht="21.75" customHeight="1">
      <c r="A2" s="39" t="s">
        <v>5</v>
      </c>
      <c r="B2" s="170" t="s">
        <v>6</v>
      </c>
      <c r="C2" s="171"/>
      <c r="D2" s="172"/>
      <c r="E2" s="39" t="s">
        <v>249</v>
      </c>
    </row>
    <row r="3" spans="1:5">
      <c r="A3" s="41">
        <v>400</v>
      </c>
      <c r="B3" s="173" t="s">
        <v>319</v>
      </c>
      <c r="C3" s="173"/>
      <c r="D3" s="173"/>
      <c r="E3" s="23"/>
    </row>
    <row r="4" spans="1:5">
      <c r="A4" s="33"/>
      <c r="B4" s="173"/>
      <c r="C4" s="173"/>
      <c r="D4" s="173"/>
      <c r="E4" s="42"/>
    </row>
    <row r="5" spans="1:5">
      <c r="A5" s="33"/>
      <c r="B5" s="173"/>
      <c r="C5" s="173"/>
      <c r="D5" s="173"/>
      <c r="E5" s="33"/>
    </row>
    <row r="6" spans="1:5">
      <c r="A6" s="33"/>
      <c r="B6" s="173"/>
      <c r="C6" s="173"/>
      <c r="D6" s="173"/>
      <c r="E6" s="33"/>
    </row>
    <row r="7" spans="1:5">
      <c r="A7" s="33"/>
      <c r="B7" s="174"/>
      <c r="C7" s="175"/>
      <c r="D7" s="176"/>
      <c r="E7" s="33"/>
    </row>
    <row r="8" spans="1:5">
      <c r="A8" s="33"/>
      <c r="B8" s="174"/>
      <c r="C8" s="175"/>
      <c r="D8" s="176"/>
      <c r="E8" s="33"/>
    </row>
    <row r="9" spans="1:5">
      <c r="A9" s="33"/>
      <c r="B9" s="173"/>
      <c r="C9" s="173"/>
      <c r="D9" s="173"/>
      <c r="E9" s="33"/>
    </row>
    <row r="10" spans="1:5">
      <c r="A10" s="33"/>
      <c r="B10" s="173"/>
      <c r="C10" s="173"/>
      <c r="D10" s="173"/>
      <c r="E10" s="33"/>
    </row>
    <row r="11" spans="1:5">
      <c r="A11" s="33"/>
      <c r="B11" s="173"/>
      <c r="C11" s="173"/>
      <c r="D11" s="173"/>
      <c r="E11" s="33"/>
    </row>
    <row r="12" spans="1:5">
      <c r="A12" s="33"/>
      <c r="B12" s="175"/>
      <c r="C12" s="175"/>
      <c r="D12" s="176"/>
      <c r="E12" s="33"/>
    </row>
    <row r="13" spans="1:5">
      <c r="A13" s="33"/>
      <c r="B13" s="173"/>
      <c r="C13" s="173"/>
      <c r="D13" s="173"/>
      <c r="E13" s="33"/>
    </row>
    <row r="14" spans="1:5">
      <c r="A14" s="33"/>
      <c r="B14" s="174"/>
      <c r="C14" s="175"/>
      <c r="D14" s="176"/>
      <c r="E14" s="33"/>
    </row>
    <row r="15" spans="1:5">
      <c r="A15" s="33"/>
      <c r="B15" s="174"/>
      <c r="C15" s="175"/>
      <c r="D15" s="176"/>
      <c r="E15" s="33"/>
    </row>
    <row r="16" spans="1:5">
      <c r="A16" s="33"/>
      <c r="B16" s="174"/>
      <c r="C16" s="175"/>
      <c r="D16" s="176"/>
      <c r="E16" s="33"/>
    </row>
    <row r="17" spans="1:5">
      <c r="A17" s="33"/>
      <c r="B17" s="173"/>
      <c r="C17" s="173"/>
      <c r="D17" s="173"/>
      <c r="E17" s="33"/>
    </row>
    <row r="18" spans="1:5">
      <c r="A18" s="33"/>
      <c r="B18" s="174"/>
      <c r="C18" s="175"/>
      <c r="D18" s="176"/>
      <c r="E18" s="33"/>
    </row>
    <row r="19" spans="1:5">
      <c r="A19" s="33"/>
      <c r="B19" s="174"/>
      <c r="C19" s="175"/>
      <c r="D19" s="176"/>
      <c r="E19" s="33"/>
    </row>
    <row r="20" spans="1:5">
      <c r="A20" s="33"/>
      <c r="B20" s="174"/>
      <c r="C20" s="175"/>
      <c r="D20" s="176"/>
      <c r="E20" s="33"/>
    </row>
    <row r="21" spans="1:5">
      <c r="A21" s="33"/>
      <c r="B21" s="174"/>
      <c r="C21" s="175"/>
      <c r="D21" s="176"/>
      <c r="E21" s="33"/>
    </row>
    <row r="22" spans="1:5">
      <c r="A22" s="33"/>
      <c r="B22" s="174"/>
      <c r="C22" s="175"/>
      <c r="D22" s="176"/>
      <c r="E22" s="33"/>
    </row>
    <row r="23" spans="1:5">
      <c r="A23" s="33"/>
      <c r="B23" s="174"/>
      <c r="C23" s="175"/>
      <c r="D23" s="176"/>
      <c r="E23" s="33"/>
    </row>
    <row r="24" spans="1:5">
      <c r="A24" s="33"/>
      <c r="B24" s="174"/>
      <c r="C24" s="175"/>
      <c r="D24" s="176"/>
      <c r="E24" s="33"/>
    </row>
    <row r="25" spans="1:5">
      <c r="A25" s="33"/>
      <c r="B25" s="174"/>
      <c r="C25" s="175"/>
      <c r="D25" s="176"/>
      <c r="E25" s="33"/>
    </row>
    <row r="26" spans="1:5">
      <c r="A26" s="33"/>
      <c r="B26" s="174"/>
      <c r="C26" s="175"/>
      <c r="D26" s="176"/>
      <c r="E26" s="33"/>
    </row>
    <row r="27" spans="1:5">
      <c r="A27" s="33"/>
      <c r="B27" s="174"/>
      <c r="C27" s="175"/>
      <c r="D27" s="176"/>
      <c r="E27" s="33"/>
    </row>
    <row r="28" spans="1:5">
      <c r="A28" s="33"/>
      <c r="B28" s="174"/>
      <c r="C28" s="175"/>
      <c r="D28" s="176"/>
      <c r="E28" s="33"/>
    </row>
    <row r="29" spans="1:5">
      <c r="A29" s="33"/>
      <c r="B29" s="174"/>
      <c r="C29" s="175"/>
      <c r="D29" s="176"/>
      <c r="E29" s="33"/>
    </row>
    <row r="30" spans="1:5">
      <c r="A30" s="33"/>
      <c r="B30" s="174"/>
      <c r="C30" s="175"/>
      <c r="D30" s="176"/>
      <c r="E30" s="33"/>
    </row>
    <row r="31" spans="1:5">
      <c r="A31" s="33"/>
      <c r="B31" s="174"/>
      <c r="C31" s="175"/>
      <c r="D31" s="176"/>
      <c r="E31" s="33"/>
    </row>
    <row r="32" spans="1:5">
      <c r="A32" s="33"/>
      <c r="B32" s="174"/>
      <c r="C32" s="175"/>
      <c r="D32" s="176"/>
      <c r="E32" s="33"/>
    </row>
    <row r="33" spans="1:5">
      <c r="A33" s="43">
        <f>SUM(A3:A32)</f>
        <v>400</v>
      </c>
      <c r="B33" s="177" t="s">
        <v>8</v>
      </c>
      <c r="C33" s="178"/>
      <c r="D33" s="179"/>
      <c r="E33" s="44">
        <f>SUM(E3:E32)</f>
        <v>0</v>
      </c>
    </row>
  </sheetData>
  <mergeCells count="33">
    <mergeCell ref="B31:D31"/>
    <mergeCell ref="B32:D32"/>
    <mergeCell ref="B33:D33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B7:D7"/>
    <mergeCell ref="B8:D8"/>
    <mergeCell ref="B9:D9"/>
    <mergeCell ref="B10:D10"/>
    <mergeCell ref="A1:E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4:T17"/>
  <sheetViews>
    <sheetView rightToLeft="1" topLeftCell="H1" workbookViewId="0">
      <selection activeCell="Q11" sqref="Q11"/>
    </sheetView>
  </sheetViews>
  <sheetFormatPr defaultColWidth="9" defaultRowHeight="14.25"/>
  <cols>
    <col min="10" max="14" width="9.125" customWidth="1"/>
    <col min="15" max="15" width="13.625" customWidth="1"/>
    <col min="16" max="16" width="16.375" customWidth="1"/>
    <col min="17" max="17" width="15.75" customWidth="1"/>
    <col min="18" max="18" width="20.625" customWidth="1"/>
    <col min="19" max="19" width="14.625" customWidth="1"/>
  </cols>
  <sheetData>
    <row r="4" spans="15:20">
      <c r="O4" s="26" t="s">
        <v>259</v>
      </c>
      <c r="P4" s="26" t="s">
        <v>260</v>
      </c>
      <c r="Q4" s="26" t="s">
        <v>261</v>
      </c>
      <c r="R4" s="26" t="s">
        <v>262</v>
      </c>
      <c r="S4" t="s">
        <v>263</v>
      </c>
      <c r="T4" t="s">
        <v>264</v>
      </c>
    </row>
    <row r="5" spans="15:20">
      <c r="O5" s="26"/>
      <c r="P5" s="30"/>
      <c r="T5">
        <v>0</v>
      </c>
    </row>
    <row r="7" spans="15:20">
      <c r="O7" s="26" t="s">
        <v>266</v>
      </c>
      <c r="P7" s="30" t="s">
        <v>265</v>
      </c>
      <c r="Q7">
        <v>200</v>
      </c>
      <c r="S7">
        <v>147</v>
      </c>
      <c r="T7">
        <v>0</v>
      </c>
    </row>
    <row r="9" spans="15:20">
      <c r="O9" s="26" t="s">
        <v>267</v>
      </c>
      <c r="P9" s="30" t="s">
        <v>265</v>
      </c>
      <c r="Q9">
        <v>200</v>
      </c>
      <c r="T9">
        <v>0</v>
      </c>
    </row>
    <row r="11" spans="15:20">
      <c r="O11" s="26" t="s">
        <v>268</v>
      </c>
      <c r="P11" s="30" t="s">
        <v>265</v>
      </c>
      <c r="Q11">
        <v>100</v>
      </c>
    </row>
    <row r="13" spans="15:20">
      <c r="P13" s="31"/>
    </row>
    <row r="17" spans="15:20">
      <c r="O17" t="s">
        <v>269</v>
      </c>
      <c r="P17" t="s">
        <v>19</v>
      </c>
      <c r="Q17">
        <v>300</v>
      </c>
      <c r="S17">
        <v>200</v>
      </c>
      <c r="T17">
        <v>100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opLeftCell="B1" workbookViewId="0">
      <selection activeCell="F18" sqref="C18:F18"/>
    </sheetView>
  </sheetViews>
  <sheetFormatPr defaultColWidth="9" defaultRowHeight="14.25"/>
  <cols>
    <col min="2" max="2" width="18.625" customWidth="1"/>
    <col min="3" max="3" width="19.75" customWidth="1"/>
    <col min="4" max="4" width="19" customWidth="1"/>
    <col min="14" max="14" width="7.125" customWidth="1"/>
    <col min="15" max="15" width="12.375" customWidth="1"/>
    <col min="16" max="16" width="12.25" customWidth="1"/>
    <col min="17" max="17" width="16.875" customWidth="1"/>
  </cols>
  <sheetData>
    <row r="1" spans="1:19">
      <c r="C1" s="20" t="s">
        <v>270</v>
      </c>
    </row>
    <row r="2" spans="1:19">
      <c r="A2" s="21"/>
      <c r="B2" s="22" t="s">
        <v>271</v>
      </c>
      <c r="C2" s="22" t="s">
        <v>272</v>
      </c>
      <c r="D2" s="22" t="s">
        <v>3</v>
      </c>
    </row>
    <row r="3" spans="1:19">
      <c r="A3" s="21">
        <v>3</v>
      </c>
      <c r="B3" s="23">
        <v>0</v>
      </c>
      <c r="C3" s="23">
        <v>0</v>
      </c>
      <c r="D3" s="23">
        <v>1137.9000000000001</v>
      </c>
    </row>
    <row r="4" spans="1:19">
      <c r="A4" s="21">
        <v>4</v>
      </c>
      <c r="B4" s="23">
        <v>0</v>
      </c>
      <c r="C4" s="23">
        <v>0</v>
      </c>
      <c r="D4" s="23">
        <v>883</v>
      </c>
      <c r="O4" s="24" t="s">
        <v>273</v>
      </c>
      <c r="P4" s="24">
        <v>2026</v>
      </c>
    </row>
    <row r="5" spans="1:19">
      <c r="A5" s="21">
        <v>5</v>
      </c>
      <c r="B5" s="23">
        <v>0</v>
      </c>
      <c r="C5" s="23">
        <v>0</v>
      </c>
      <c r="D5" s="23">
        <v>922.5</v>
      </c>
    </row>
    <row r="6" spans="1:19">
      <c r="A6" s="21">
        <v>6</v>
      </c>
      <c r="B6" s="23">
        <v>0</v>
      </c>
      <c r="C6" s="23">
        <v>0</v>
      </c>
      <c r="D6" s="23">
        <v>612</v>
      </c>
      <c r="N6" s="21"/>
      <c r="O6" s="22" t="s">
        <v>271</v>
      </c>
      <c r="P6" s="22" t="s">
        <v>272</v>
      </c>
      <c r="Q6" s="22" t="s">
        <v>3</v>
      </c>
    </row>
    <row r="7" spans="1:19">
      <c r="A7" s="21">
        <v>7</v>
      </c>
      <c r="B7" s="23">
        <v>2635.8</v>
      </c>
      <c r="C7" s="23">
        <v>2635.8</v>
      </c>
      <c r="D7" s="23">
        <v>3435.8</v>
      </c>
      <c r="E7" s="25">
        <v>-200</v>
      </c>
      <c r="F7" s="26"/>
      <c r="G7" s="27"/>
      <c r="N7" s="21">
        <v>1</v>
      </c>
      <c r="O7" s="23">
        <v>0</v>
      </c>
      <c r="P7" s="23">
        <v>0</v>
      </c>
      <c r="Q7" s="23">
        <v>478.55</v>
      </c>
      <c r="R7" s="28">
        <v>-100</v>
      </c>
      <c r="S7" t="s">
        <v>274</v>
      </c>
    </row>
    <row r="8" spans="1:19">
      <c r="A8" s="21">
        <v>8</v>
      </c>
      <c r="B8" s="23">
        <v>3204.6</v>
      </c>
      <c r="C8" s="23">
        <v>3204.6</v>
      </c>
      <c r="D8" s="23">
        <v>3754</v>
      </c>
      <c r="E8" s="25">
        <v>-450</v>
      </c>
      <c r="G8" t="s">
        <v>275</v>
      </c>
      <c r="M8" t="s">
        <v>276</v>
      </c>
      <c r="N8" s="21">
        <v>2</v>
      </c>
      <c r="O8" s="23">
        <v>2278</v>
      </c>
      <c r="P8" s="23">
        <v>2278</v>
      </c>
      <c r="Q8" s="23">
        <v>4078</v>
      </c>
    </row>
    <row r="9" spans="1:19">
      <c r="A9" s="21">
        <v>9</v>
      </c>
      <c r="B9" s="23">
        <v>823</v>
      </c>
      <c r="C9" s="23">
        <v>823</v>
      </c>
      <c r="D9" s="23">
        <v>1373</v>
      </c>
      <c r="E9" s="25">
        <v>-450</v>
      </c>
      <c r="G9" t="s">
        <v>277</v>
      </c>
      <c r="N9" s="21">
        <v>3</v>
      </c>
      <c r="O9" s="23">
        <v>269</v>
      </c>
      <c r="P9" s="23">
        <v>269</v>
      </c>
      <c r="Q9" s="23">
        <v>1269</v>
      </c>
    </row>
    <row r="10" spans="1:19">
      <c r="A10" s="21">
        <v>10</v>
      </c>
      <c r="B10" s="23">
        <v>338.8</v>
      </c>
      <c r="C10" s="23">
        <v>338.8</v>
      </c>
      <c r="D10" s="23">
        <v>1388.8</v>
      </c>
      <c r="N10" s="21">
        <v>4</v>
      </c>
      <c r="O10" s="23">
        <v>0</v>
      </c>
      <c r="P10" s="23">
        <v>0</v>
      </c>
      <c r="Q10" s="23">
        <v>982</v>
      </c>
    </row>
    <row r="11" spans="1:19">
      <c r="A11" s="21">
        <v>11</v>
      </c>
      <c r="B11" s="23">
        <v>0</v>
      </c>
      <c r="C11" s="23">
        <v>0</v>
      </c>
      <c r="D11" s="23">
        <v>766</v>
      </c>
      <c r="E11" s="29">
        <v>-300</v>
      </c>
      <c r="N11" s="21">
        <v>5</v>
      </c>
      <c r="O11" s="23">
        <v>0</v>
      </c>
      <c r="P11" s="23">
        <v>0</v>
      </c>
      <c r="Q11" s="23">
        <v>805</v>
      </c>
    </row>
    <row r="12" spans="1:19">
      <c r="A12" s="21">
        <v>12</v>
      </c>
      <c r="B12" s="23">
        <v>1339</v>
      </c>
      <c r="C12" s="23">
        <v>1339</v>
      </c>
      <c r="D12" s="23">
        <v>2089</v>
      </c>
      <c r="E12" s="29">
        <v>-250</v>
      </c>
      <c r="G12" t="s">
        <v>278</v>
      </c>
      <c r="N12" s="21">
        <v>6</v>
      </c>
      <c r="O12" s="23"/>
      <c r="P12" s="23"/>
      <c r="Q12" s="23"/>
    </row>
    <row r="13" spans="1:19">
      <c r="A13" s="21" t="s">
        <v>8</v>
      </c>
      <c r="B13" s="21">
        <f>SUM(B3:B12)</f>
        <v>8341.2000000000007</v>
      </c>
      <c r="C13" s="21">
        <f>SUM(C3:C12)</f>
        <v>8341.2000000000007</v>
      </c>
      <c r="D13" s="21">
        <f>SUM(D3:D12)</f>
        <v>16362</v>
      </c>
      <c r="F13">
        <f>SUM(B13:E13)</f>
        <v>33044.400000000001</v>
      </c>
      <c r="N13" s="21">
        <v>7</v>
      </c>
      <c r="O13" s="23"/>
      <c r="P13" s="23"/>
      <c r="Q13" s="23"/>
    </row>
    <row r="14" spans="1:19">
      <c r="N14" s="21">
        <v>8</v>
      </c>
      <c r="O14" s="23"/>
      <c r="P14" s="23"/>
      <c r="Q14" s="23"/>
    </row>
    <row r="15" spans="1:19">
      <c r="N15" s="21">
        <v>9</v>
      </c>
      <c r="O15" s="23"/>
      <c r="P15" s="23"/>
      <c r="Q15" s="23"/>
    </row>
    <row r="16" spans="1:19">
      <c r="N16" s="21">
        <v>10</v>
      </c>
      <c r="O16" s="23"/>
      <c r="P16" s="23"/>
      <c r="Q16" s="23"/>
    </row>
    <row r="17" spans="14:18">
      <c r="N17" s="21" t="s">
        <v>8</v>
      </c>
      <c r="O17" s="21">
        <f>SUM(O7:O16)</f>
        <v>2547</v>
      </c>
      <c r="P17" s="21">
        <f>SUM(P7:P16)</f>
        <v>2547</v>
      </c>
      <c r="Q17" s="21">
        <f>SUM(Q7:Q16)</f>
        <v>7612.55</v>
      </c>
      <c r="R17">
        <f>SUM(O17:Q17)</f>
        <v>12706.55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rightToLeft="1" zoomScale="90" zoomScaleNormal="90" workbookViewId="0">
      <selection activeCell="B16" sqref="B16:C16"/>
    </sheetView>
  </sheetViews>
  <sheetFormatPr defaultColWidth="9" defaultRowHeight="14.25"/>
  <cols>
    <col min="3" max="3" width="22" customWidth="1"/>
    <col min="12" max="12" width="10.25" customWidth="1"/>
  </cols>
  <sheetData>
    <row r="1" spans="1:13">
      <c r="A1" s="205" t="s">
        <v>250</v>
      </c>
      <c r="B1" s="205"/>
      <c r="C1" s="205"/>
      <c r="D1" s="205"/>
      <c r="E1" s="205"/>
      <c r="F1" s="205"/>
      <c r="G1" s="205"/>
    </row>
    <row r="2" spans="1:13">
      <c r="A2" s="206" t="s">
        <v>251</v>
      </c>
      <c r="B2" s="206"/>
      <c r="C2" s="206"/>
      <c r="D2" s="206" t="s">
        <v>252</v>
      </c>
      <c r="E2" s="206"/>
      <c r="F2" s="206"/>
      <c r="G2" s="206"/>
      <c r="K2" s="32" t="s">
        <v>253</v>
      </c>
      <c r="L2" s="207" t="s">
        <v>254</v>
      </c>
      <c r="M2" s="207"/>
    </row>
    <row r="3" spans="1:13">
      <c r="A3" s="33"/>
      <c r="B3" s="208"/>
      <c r="C3" s="173"/>
      <c r="D3" s="33">
        <f>'ادارية وعمومية'!A34</f>
        <v>5481.55</v>
      </c>
      <c r="E3" s="173" t="s">
        <v>255</v>
      </c>
      <c r="F3" s="173"/>
      <c r="G3" s="173"/>
    </row>
    <row r="4" spans="1:13">
      <c r="A4" s="33"/>
      <c r="B4" s="208"/>
      <c r="C4" s="173"/>
      <c r="D4" s="33"/>
      <c r="E4" s="173"/>
      <c r="F4" s="173"/>
      <c r="G4" s="173"/>
    </row>
    <row r="5" spans="1:13">
      <c r="A5" s="33"/>
      <c r="B5" s="208"/>
      <c r="C5" s="173"/>
      <c r="D5" s="33"/>
      <c r="E5" s="174"/>
      <c r="F5" s="175"/>
      <c r="G5" s="176"/>
    </row>
    <row r="6" spans="1:13">
      <c r="A6" s="33"/>
      <c r="B6" s="208"/>
      <c r="C6" s="173"/>
      <c r="D6" s="33"/>
      <c r="E6" s="174"/>
      <c r="F6" s="175"/>
      <c r="G6" s="176"/>
    </row>
    <row r="7" spans="1:13">
      <c r="A7" s="33"/>
      <c r="B7" s="208"/>
      <c r="C7" s="173"/>
      <c r="D7" s="33"/>
      <c r="E7" s="174"/>
      <c r="F7" s="175"/>
      <c r="G7" s="176"/>
    </row>
    <row r="8" spans="1:13">
      <c r="A8" s="33"/>
      <c r="B8" s="208"/>
      <c r="C8" s="173"/>
      <c r="D8" s="33"/>
      <c r="E8" s="174"/>
      <c r="F8" s="175"/>
      <c r="G8" s="176"/>
    </row>
    <row r="9" spans="1:13">
      <c r="A9" s="33"/>
      <c r="B9" s="208"/>
      <c r="C9" s="173"/>
      <c r="D9" s="33"/>
      <c r="E9" s="174"/>
      <c r="F9" s="175"/>
      <c r="G9" s="176"/>
      <c r="L9" s="35"/>
    </row>
    <row r="10" spans="1:13">
      <c r="A10" s="33"/>
      <c r="B10" s="208"/>
      <c r="C10" s="173"/>
      <c r="D10" s="33"/>
      <c r="E10" s="174"/>
      <c r="F10" s="175"/>
      <c r="G10" s="176"/>
      <c r="L10" s="35"/>
    </row>
    <row r="11" spans="1:13">
      <c r="A11" s="33"/>
      <c r="B11" s="208"/>
      <c r="C11" s="173"/>
      <c r="D11" s="33"/>
      <c r="E11" s="174"/>
      <c r="F11" s="175"/>
      <c r="G11" s="176"/>
    </row>
    <row r="12" spans="1:13">
      <c r="A12" s="33"/>
      <c r="B12" s="208"/>
      <c r="C12" s="173"/>
      <c r="D12" s="33"/>
      <c r="E12" s="174"/>
      <c r="F12" s="175"/>
      <c r="G12" s="176"/>
    </row>
    <row r="13" spans="1:13">
      <c r="A13" s="33"/>
      <c r="B13" s="208"/>
      <c r="C13" s="173"/>
      <c r="D13" s="33"/>
      <c r="E13" s="174"/>
      <c r="F13" s="175"/>
      <c r="G13" s="176"/>
    </row>
    <row r="14" spans="1:13" ht="14.25" customHeight="1">
      <c r="A14" s="33"/>
      <c r="B14" s="208"/>
      <c r="C14" s="173"/>
      <c r="D14" s="33"/>
      <c r="E14" s="174"/>
      <c r="F14" s="175"/>
      <c r="G14" s="176"/>
    </row>
    <row r="15" spans="1:13">
      <c r="A15" s="33"/>
      <c r="B15" s="208"/>
      <c r="C15" s="173"/>
      <c r="D15" s="33"/>
      <c r="E15" s="174"/>
      <c r="F15" s="175"/>
      <c r="G15" s="176"/>
    </row>
    <row r="16" spans="1:13">
      <c r="A16" s="33"/>
      <c r="B16" s="208"/>
      <c r="C16" s="173"/>
      <c r="D16" s="33"/>
      <c r="E16" s="174"/>
      <c r="F16" s="175"/>
      <c r="G16" s="176"/>
      <c r="I16" s="209">
        <v>45689</v>
      </c>
      <c r="J16" s="210"/>
      <c r="K16" s="211"/>
    </row>
    <row r="17" spans="1:13">
      <c r="A17" s="33"/>
      <c r="B17" s="208"/>
      <c r="C17" s="173"/>
      <c r="D17" s="33"/>
      <c r="E17" s="174"/>
      <c r="F17" s="175"/>
      <c r="G17" s="176"/>
      <c r="I17" s="212"/>
      <c r="J17" s="213"/>
      <c r="K17" s="214"/>
    </row>
    <row r="18" spans="1:13">
      <c r="A18" s="33"/>
      <c r="B18" s="208"/>
      <c r="C18" s="173"/>
      <c r="D18" s="33"/>
      <c r="E18" s="174"/>
      <c r="F18" s="175"/>
      <c r="G18" s="176"/>
      <c r="I18" s="36"/>
      <c r="J18" s="36"/>
      <c r="K18" s="36"/>
    </row>
    <row r="19" spans="1:13">
      <c r="A19" s="33"/>
      <c r="B19" s="208"/>
      <c r="C19" s="173"/>
      <c r="D19" s="33"/>
      <c r="E19" s="174"/>
      <c r="F19" s="175"/>
      <c r="G19" s="176"/>
      <c r="I19" s="36"/>
      <c r="J19" s="36"/>
      <c r="K19" s="36"/>
    </row>
    <row r="20" spans="1:13">
      <c r="A20" s="33"/>
      <c r="B20" s="208"/>
      <c r="C20" s="173"/>
      <c r="D20" s="33"/>
      <c r="E20" s="174"/>
      <c r="F20" s="175"/>
      <c r="G20" s="176"/>
      <c r="I20" s="36"/>
      <c r="J20" s="36"/>
      <c r="K20" s="36"/>
    </row>
    <row r="21" spans="1:13">
      <c r="A21" s="33"/>
      <c r="B21" s="208"/>
      <c r="C21" s="173"/>
      <c r="D21" s="33"/>
      <c r="E21" s="174"/>
      <c r="F21" s="175"/>
      <c r="G21" s="176"/>
      <c r="I21" s="36"/>
      <c r="J21" s="36"/>
      <c r="K21" s="36"/>
    </row>
    <row r="22" spans="1:13">
      <c r="A22" s="33"/>
      <c r="B22" s="189"/>
      <c r="C22" s="215"/>
      <c r="D22" s="33"/>
      <c r="E22" s="174"/>
      <c r="F22" s="175"/>
      <c r="G22" s="176"/>
      <c r="I22" s="36"/>
      <c r="J22" s="36"/>
      <c r="K22" s="36"/>
    </row>
    <row r="23" spans="1:13">
      <c r="A23" s="33"/>
      <c r="B23" s="208"/>
      <c r="C23" s="173"/>
      <c r="D23" s="33"/>
      <c r="E23" s="174"/>
      <c r="F23" s="175"/>
      <c r="G23" s="176"/>
    </row>
    <row r="24" spans="1:13">
      <c r="A24" s="33"/>
      <c r="B24" s="173" t="s">
        <v>256</v>
      </c>
      <c r="C24" s="173"/>
      <c r="D24" s="33"/>
      <c r="E24" s="174"/>
      <c r="F24" s="175"/>
      <c r="G24" s="176"/>
    </row>
    <row r="25" spans="1:13">
      <c r="A25" s="33">
        <f>SUM(A3:A24)</f>
        <v>0</v>
      </c>
      <c r="B25" s="173"/>
      <c r="C25" s="173"/>
      <c r="D25" s="33">
        <f>SUM(D3:D24)</f>
        <v>5481.55</v>
      </c>
      <c r="E25" s="174"/>
      <c r="F25" s="175"/>
      <c r="G25" s="176"/>
    </row>
    <row r="26" spans="1:13" ht="40.5" customHeight="1">
      <c r="A26" s="37">
        <f>A25-D25</f>
        <v>-5481.55</v>
      </c>
      <c r="B26" s="216" t="s">
        <v>257</v>
      </c>
      <c r="C26" s="217"/>
      <c r="D26" s="217"/>
      <c r="E26" s="217"/>
      <c r="F26" s="217"/>
      <c r="G26" s="218"/>
      <c r="M26" t="s">
        <v>258</v>
      </c>
    </row>
    <row r="27" spans="1:13">
      <c r="B27" s="201"/>
      <c r="C27" s="201"/>
    </row>
    <row r="28" spans="1:13">
      <c r="C28" s="201"/>
      <c r="D28" s="201"/>
    </row>
    <row r="29" spans="1:13">
      <c r="C29" s="201"/>
      <c r="D29" s="201"/>
      <c r="E29" s="26"/>
    </row>
    <row r="30" spans="1:13">
      <c r="C30" s="201"/>
      <c r="D30" s="201"/>
      <c r="E30" s="26"/>
    </row>
    <row r="31" spans="1:13">
      <c r="C31" s="201"/>
      <c r="D31" s="201"/>
      <c r="E31" s="26"/>
    </row>
    <row r="32" spans="1:13">
      <c r="C32" s="200"/>
      <c r="D32" s="201"/>
      <c r="E32" s="26"/>
    </row>
    <row r="33" spans="1:5">
      <c r="A33">
        <f>SUM(B29:B33)</f>
        <v>0</v>
      </c>
      <c r="C33" s="38"/>
      <c r="E33" s="26"/>
    </row>
    <row r="34" spans="1:5">
      <c r="C34" s="38"/>
      <c r="E34" s="26"/>
    </row>
    <row r="35" spans="1:5">
      <c r="C35" s="38"/>
      <c r="E35" s="26"/>
    </row>
    <row r="42" spans="1:5">
      <c r="B42">
        <f>SUM(B29:B41)</f>
        <v>0</v>
      </c>
    </row>
  </sheetData>
  <mergeCells count="59">
    <mergeCell ref="C32:D32"/>
    <mergeCell ref="B27:C27"/>
    <mergeCell ref="C28:D28"/>
    <mergeCell ref="C29:D29"/>
    <mergeCell ref="C30:D30"/>
    <mergeCell ref="C31:D31"/>
    <mergeCell ref="B24:C24"/>
    <mergeCell ref="E24:G24"/>
    <mergeCell ref="B25:C25"/>
    <mergeCell ref="E25:G25"/>
    <mergeCell ref="B26:G26"/>
    <mergeCell ref="B21:C21"/>
    <mergeCell ref="E21:G21"/>
    <mergeCell ref="B22:C22"/>
    <mergeCell ref="E22:G22"/>
    <mergeCell ref="B23:C23"/>
    <mergeCell ref="E23:G23"/>
    <mergeCell ref="B18:C18"/>
    <mergeCell ref="E18:G18"/>
    <mergeCell ref="B19:C19"/>
    <mergeCell ref="E19:G19"/>
    <mergeCell ref="B20:C20"/>
    <mergeCell ref="E20:G20"/>
    <mergeCell ref="B16:C16"/>
    <mergeCell ref="E16:G16"/>
    <mergeCell ref="I16:K16"/>
    <mergeCell ref="B17:C17"/>
    <mergeCell ref="E17:G17"/>
    <mergeCell ref="I17:K17"/>
    <mergeCell ref="B13:C13"/>
    <mergeCell ref="E13:G13"/>
    <mergeCell ref="B14:C14"/>
    <mergeCell ref="E14:G14"/>
    <mergeCell ref="B15:C15"/>
    <mergeCell ref="E15:G15"/>
    <mergeCell ref="B10:C10"/>
    <mergeCell ref="E10:G10"/>
    <mergeCell ref="B11:C11"/>
    <mergeCell ref="E11:G11"/>
    <mergeCell ref="B12:C12"/>
    <mergeCell ref="E12:G12"/>
    <mergeCell ref="B7:C7"/>
    <mergeCell ref="E7:G7"/>
    <mergeCell ref="B8:C8"/>
    <mergeCell ref="E8:G8"/>
    <mergeCell ref="B9:C9"/>
    <mergeCell ref="E9:G9"/>
    <mergeCell ref="B4:C4"/>
    <mergeCell ref="E4:G4"/>
    <mergeCell ref="B5:C5"/>
    <mergeCell ref="E5:G5"/>
    <mergeCell ref="B6:C6"/>
    <mergeCell ref="E6:G6"/>
    <mergeCell ref="A1:G1"/>
    <mergeCell ref="A2:C2"/>
    <mergeCell ref="D2:G2"/>
    <mergeCell ref="L2:M2"/>
    <mergeCell ref="B3:C3"/>
    <mergeCell ref="E3:G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3" sqref="C13"/>
    </sheetView>
  </sheetViews>
  <sheetFormatPr defaultColWidth="9" defaultRowHeight="14.25"/>
  <cols>
    <col min="1" max="1" width="6.375" customWidth="1"/>
    <col min="2" max="2" width="12.75" customWidth="1"/>
    <col min="3" max="3" width="34.125" customWidth="1"/>
    <col min="4" max="4" width="14" customWidth="1"/>
    <col min="5" max="5" width="12.75" customWidth="1"/>
  </cols>
  <sheetData>
    <row r="1" spans="1:5" ht="18">
      <c r="A1" s="219" t="s">
        <v>279</v>
      </c>
      <c r="B1" s="219"/>
      <c r="C1" s="219"/>
      <c r="D1" s="219"/>
      <c r="E1" s="219"/>
    </row>
    <row r="2" spans="1:5" ht="15.75">
      <c r="A2" s="220" t="s">
        <v>101</v>
      </c>
      <c r="B2" s="220"/>
      <c r="C2" s="220"/>
      <c r="D2" s="220"/>
      <c r="E2" s="220"/>
    </row>
    <row r="3" spans="1:5" ht="15.75">
      <c r="A3" s="7" t="s">
        <v>280</v>
      </c>
      <c r="B3" s="7" t="s">
        <v>281</v>
      </c>
      <c r="C3" s="7"/>
      <c r="D3" s="7" t="s">
        <v>282</v>
      </c>
      <c r="E3" s="8" t="s">
        <v>9</v>
      </c>
    </row>
    <row r="4" spans="1:5" ht="15.75">
      <c r="A4" s="9"/>
      <c r="B4" s="10"/>
      <c r="C4" s="11"/>
      <c r="D4" s="12" t="s">
        <v>283</v>
      </c>
      <c r="E4" s="10">
        <f>B4</f>
        <v>0</v>
      </c>
    </row>
    <row r="5" spans="1:5" ht="15.75">
      <c r="A5" s="9"/>
      <c r="B5" s="13"/>
      <c r="C5" s="11"/>
      <c r="D5" s="12" t="s">
        <v>283</v>
      </c>
      <c r="E5" s="9">
        <f>B5</f>
        <v>0</v>
      </c>
    </row>
    <row r="6" spans="1:5" ht="15.75">
      <c r="A6" s="9"/>
      <c r="B6" s="13"/>
      <c r="C6" s="14"/>
      <c r="D6" s="12"/>
      <c r="E6" s="9"/>
    </row>
    <row r="7" spans="1:5" ht="15.75">
      <c r="A7" s="9"/>
      <c r="B7" s="13"/>
      <c r="C7" s="14"/>
      <c r="D7" s="12"/>
      <c r="E7" s="9"/>
    </row>
    <row r="8" spans="1:5" ht="15.75">
      <c r="A8" s="9"/>
      <c r="B8" s="9"/>
      <c r="C8" s="14"/>
      <c r="D8" s="12"/>
      <c r="E8" s="9"/>
    </row>
    <row r="9" spans="1:5" ht="15.75">
      <c r="A9" s="9"/>
      <c r="B9" s="9"/>
      <c r="C9" s="14"/>
      <c r="D9" s="12"/>
      <c r="E9" s="9"/>
    </row>
    <row r="10" spans="1:5" ht="15.75">
      <c r="A10" s="9"/>
      <c r="B10" s="9"/>
      <c r="C10" s="14"/>
      <c r="D10" s="15"/>
      <c r="E10" s="9"/>
    </row>
    <row r="11" spans="1:5" ht="15.75">
      <c r="A11" s="9"/>
      <c r="B11" s="9"/>
      <c r="C11" s="14"/>
      <c r="D11" s="12"/>
      <c r="E11" s="9"/>
    </row>
    <row r="12" spans="1:5" ht="15.75">
      <c r="A12" s="9"/>
      <c r="B12" s="9"/>
      <c r="C12" s="16"/>
      <c r="D12" s="12"/>
      <c r="E12" s="9"/>
    </row>
    <row r="13" spans="1:5" ht="15.75">
      <c r="A13" s="9"/>
      <c r="B13" s="9"/>
      <c r="C13" s="16"/>
      <c r="D13" s="12"/>
      <c r="E13" s="9"/>
    </row>
    <row r="14" spans="1:5" ht="15.75">
      <c r="A14" s="9"/>
      <c r="B14" s="9"/>
      <c r="C14" s="16"/>
      <c r="D14" s="12"/>
      <c r="E14" s="9"/>
    </row>
    <row r="15" spans="1:5" ht="15.75">
      <c r="A15" s="9"/>
      <c r="B15" s="9"/>
      <c r="C15" s="16"/>
      <c r="D15" s="12"/>
      <c r="E15" s="9"/>
    </row>
    <row r="16" spans="1:5" ht="15.75">
      <c r="A16" s="9"/>
      <c r="B16" s="9"/>
      <c r="C16" s="17"/>
      <c r="D16" s="15"/>
      <c r="E16" s="9"/>
    </row>
    <row r="17" spans="1:5" ht="15.75">
      <c r="A17" s="18">
        <f>SUM(A4:A9)</f>
        <v>0</v>
      </c>
      <c r="B17" s="19">
        <f>SUM(B4:B12)</f>
        <v>0</v>
      </c>
      <c r="C17" s="221" t="s">
        <v>284</v>
      </c>
      <c r="D17" s="222"/>
      <c r="E17" s="19">
        <f>B17-A17</f>
        <v>0</v>
      </c>
    </row>
    <row r="18" spans="1:5" ht="15.75">
      <c r="A18" s="220"/>
      <c r="B18" s="220"/>
      <c r="C18" s="220"/>
      <c r="D18" s="220"/>
      <c r="E18" s="220"/>
    </row>
  </sheetData>
  <mergeCells count="4">
    <mergeCell ref="A1:E1"/>
    <mergeCell ref="A2:E2"/>
    <mergeCell ref="C17:D17"/>
    <mergeCell ref="A18:E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opLeftCell="A2" zoomScale="73" zoomScaleNormal="73" workbookViewId="0">
      <selection activeCell="B35" sqref="B34:B35"/>
    </sheetView>
  </sheetViews>
  <sheetFormatPr defaultColWidth="9" defaultRowHeight="14.25"/>
  <cols>
    <col min="1" max="1" width="9" customWidth="1"/>
    <col min="2" max="2" width="11" customWidth="1"/>
    <col min="3" max="3" width="9.75" customWidth="1"/>
    <col min="4" max="4" width="9.875" customWidth="1"/>
    <col min="5" max="5" width="10.625" customWidth="1"/>
    <col min="6" max="6" width="21.75" customWidth="1"/>
    <col min="7" max="7" width="14" customWidth="1"/>
    <col min="8" max="8" width="10.125" customWidth="1"/>
    <col min="9" max="9" width="16.625" customWidth="1"/>
    <col min="10" max="10" width="7.625" customWidth="1"/>
  </cols>
  <sheetData>
    <row r="1" spans="1:10" ht="18">
      <c r="A1" s="223" t="s">
        <v>285</v>
      </c>
      <c r="B1" s="224"/>
      <c r="C1" s="224"/>
      <c r="D1" s="224"/>
      <c r="E1" s="224"/>
      <c r="F1" s="224"/>
      <c r="G1" s="224"/>
      <c r="H1" s="224"/>
      <c r="I1" s="224"/>
      <c r="J1" s="225"/>
    </row>
    <row r="2" spans="1:10" ht="15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</row>
    <row r="3" spans="1:10" ht="15">
      <c r="A3" s="226" t="s">
        <v>296</v>
      </c>
      <c r="B3" s="227"/>
      <c r="C3" s="227"/>
      <c r="D3" s="227"/>
      <c r="E3" s="227"/>
      <c r="F3" s="227"/>
      <c r="G3" s="227"/>
      <c r="H3" s="227"/>
      <c r="I3" s="228"/>
      <c r="J3" s="2"/>
    </row>
    <row r="4" spans="1:10" ht="15">
      <c r="A4" s="3"/>
      <c r="B4" s="3"/>
      <c r="C4" s="4"/>
      <c r="D4" s="5"/>
      <c r="E4" s="3"/>
      <c r="F4" s="3"/>
      <c r="G4" s="3"/>
      <c r="H4" s="5"/>
      <c r="I4" s="3"/>
      <c r="J4" s="3">
        <f>G4-I4</f>
        <v>0</v>
      </c>
    </row>
    <row r="5" spans="1:10" ht="15">
      <c r="A5" s="6"/>
      <c r="B5" s="6"/>
      <c r="C5" s="6"/>
      <c r="D5" s="6"/>
      <c r="E5" s="6"/>
      <c r="F5" s="6"/>
      <c r="G5" s="6"/>
      <c r="H5" s="6"/>
      <c r="I5" s="6"/>
      <c r="J5" s="3">
        <f t="shared" ref="J5:J13" si="0">G5-I5</f>
        <v>0</v>
      </c>
    </row>
    <row r="6" spans="1:10" ht="15">
      <c r="A6" s="6"/>
      <c r="B6" s="6"/>
      <c r="C6" s="6"/>
      <c r="D6" s="6"/>
      <c r="E6" s="6"/>
      <c r="F6" s="6"/>
      <c r="G6" s="6"/>
      <c r="H6" s="6"/>
      <c r="I6" s="6"/>
      <c r="J6" s="3">
        <f t="shared" si="0"/>
        <v>0</v>
      </c>
    </row>
    <row r="7" spans="1:10" ht="15">
      <c r="A7" s="6"/>
      <c r="B7" s="6"/>
      <c r="C7" s="6"/>
      <c r="D7" s="6"/>
      <c r="E7" s="6"/>
      <c r="F7" s="6"/>
      <c r="G7" s="6"/>
      <c r="H7" s="6"/>
      <c r="I7" s="6"/>
      <c r="J7" s="3">
        <f t="shared" si="0"/>
        <v>0</v>
      </c>
    </row>
    <row r="8" spans="1:10" ht="15">
      <c r="A8" s="6"/>
      <c r="B8" s="6"/>
      <c r="C8" s="6"/>
      <c r="D8" s="6"/>
      <c r="E8" s="6"/>
      <c r="F8" s="6"/>
      <c r="G8" s="6"/>
      <c r="H8" s="6"/>
      <c r="I8" s="6"/>
      <c r="J8" s="3">
        <f t="shared" si="0"/>
        <v>0</v>
      </c>
    </row>
    <row r="9" spans="1:10" ht="15">
      <c r="A9" s="6"/>
      <c r="B9" s="6"/>
      <c r="C9" s="6"/>
      <c r="D9" s="6"/>
      <c r="E9" s="6"/>
      <c r="F9" s="6"/>
      <c r="G9" s="6"/>
      <c r="H9" s="6"/>
      <c r="I9" s="6"/>
      <c r="J9" s="3">
        <f t="shared" si="0"/>
        <v>0</v>
      </c>
    </row>
    <row r="10" spans="1:10" ht="15">
      <c r="A10" s="6"/>
      <c r="B10" s="6"/>
      <c r="C10" s="6"/>
      <c r="D10" s="6"/>
      <c r="E10" s="6"/>
      <c r="F10" s="6"/>
      <c r="G10" s="6"/>
      <c r="H10" s="6"/>
      <c r="I10" s="6"/>
      <c r="J10" s="3">
        <f t="shared" si="0"/>
        <v>0</v>
      </c>
    </row>
    <row r="11" spans="1:10" ht="15">
      <c r="A11" s="6"/>
      <c r="B11" s="6"/>
      <c r="C11" s="6"/>
      <c r="D11" s="6"/>
      <c r="E11" s="6"/>
      <c r="F11" s="6"/>
      <c r="G11" s="6"/>
      <c r="H11" s="6"/>
      <c r="I11" s="6"/>
      <c r="J11" s="3">
        <f t="shared" si="0"/>
        <v>0</v>
      </c>
    </row>
    <row r="12" spans="1:10" ht="15">
      <c r="A12" s="6"/>
      <c r="B12" s="6"/>
      <c r="C12" s="6"/>
      <c r="D12" s="6"/>
      <c r="E12" s="6"/>
      <c r="F12" s="6"/>
      <c r="G12" s="6"/>
      <c r="H12" s="6"/>
      <c r="I12" s="6"/>
      <c r="J12" s="3">
        <f t="shared" si="0"/>
        <v>0</v>
      </c>
    </row>
    <row r="13" spans="1:10" ht="15">
      <c r="A13" s="6"/>
      <c r="B13" s="6"/>
      <c r="C13" s="6"/>
      <c r="D13" s="6"/>
      <c r="E13" s="6"/>
      <c r="F13" s="6"/>
      <c r="G13" s="6"/>
      <c r="H13" s="6"/>
      <c r="I13" s="6"/>
      <c r="J13" s="3">
        <f t="shared" si="0"/>
        <v>0</v>
      </c>
    </row>
    <row r="14" spans="1:10" ht="15">
      <c r="A14" s="229" t="s">
        <v>284</v>
      </c>
      <c r="B14" s="230"/>
      <c r="C14" s="230"/>
      <c r="D14" s="230"/>
      <c r="E14" s="230"/>
      <c r="F14" s="230"/>
      <c r="G14" s="230"/>
      <c r="H14" s="230"/>
      <c r="I14" s="231"/>
      <c r="J14" s="6">
        <f>SUM(J3:J13)</f>
        <v>0</v>
      </c>
    </row>
  </sheetData>
  <mergeCells count="3">
    <mergeCell ref="A1:J1"/>
    <mergeCell ref="A3:I3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12</vt:i4>
      </vt:variant>
    </vt:vector>
  </HeadingPairs>
  <TitlesOfParts>
    <vt:vector size="12" baseType="lpstr">
      <vt:lpstr>راسمال الشركاء</vt:lpstr>
      <vt:lpstr>اثاث وديكورات</vt:lpstr>
      <vt:lpstr>التدفقات</vt:lpstr>
      <vt:lpstr>م. مدفوعة مقدما</vt:lpstr>
      <vt:lpstr>السيارات </vt:lpstr>
      <vt:lpstr>ادارية وعمومية</vt:lpstr>
      <vt:lpstr>سلف شركاء</vt:lpstr>
      <vt:lpstr>Sheet2</vt:lpstr>
      <vt:lpstr>Sheet1</vt:lpstr>
      <vt:lpstr>ارباح وخسائر</vt:lpstr>
      <vt:lpstr>كشف مركبات</vt:lpstr>
      <vt:lpstr>مطالبات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NTC</dc:creator>
  <cp:lastModifiedBy>user</cp:lastModifiedBy>
  <cp:lastPrinted>2025-09-23T11:28:00Z</cp:lastPrinted>
  <dcterms:created xsi:type="dcterms:W3CDTF">2023-05-13T08:00:00Z</dcterms:created>
  <dcterms:modified xsi:type="dcterms:W3CDTF">2026-06-07T14:12:14Z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040669A8ECA543B8BC55CE209ED0D775_12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